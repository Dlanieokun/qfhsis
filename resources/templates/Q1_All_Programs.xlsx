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525" windowWidth="21735" windowHeight="11955"/>
  </bookViews>
  <sheets>
    <sheet name="Q1_All Programs" sheetId="44" r:id="rId1"/>
  </sheets>
  <calcPr calcId="145621"/>
</workbook>
</file>

<file path=xl/calcChain.xml><?xml version="1.0" encoding="utf-8"?>
<calcChain xmlns="http://schemas.openxmlformats.org/spreadsheetml/2006/main">
  <c r="P250" i="44" l="1"/>
  <c r="B250" i="44"/>
  <c r="T242" i="44"/>
  <c r="T239" i="44"/>
  <c r="T236" i="44"/>
  <c r="T233" i="44"/>
  <c r="T230" i="44"/>
  <c r="R224" i="44"/>
  <c r="R223" i="44"/>
  <c r="R222" i="44"/>
  <c r="R221" i="44"/>
  <c r="R220" i="44"/>
  <c r="R219" i="44"/>
  <c r="R218" i="44"/>
  <c r="R217" i="44"/>
  <c r="R216" i="44"/>
  <c r="R215" i="44"/>
  <c r="R214" i="44"/>
  <c r="R213" i="44"/>
  <c r="R209" i="44"/>
  <c r="R208" i="44"/>
  <c r="R207" i="44"/>
  <c r="R206" i="44"/>
  <c r="R204" i="44"/>
  <c r="R203" i="44"/>
  <c r="R202" i="44"/>
  <c r="R201" i="44"/>
  <c r="R200" i="44"/>
  <c r="R199" i="44"/>
  <c r="R198" i="44"/>
  <c r="R197" i="44"/>
  <c r="R196" i="44"/>
  <c r="R195" i="44"/>
  <c r="R191" i="44"/>
  <c r="R190" i="44"/>
  <c r="R189" i="44"/>
  <c r="Q188" i="44"/>
  <c r="P188" i="44"/>
  <c r="R188" i="44" s="1"/>
  <c r="Q187" i="44"/>
  <c r="R187" i="44" s="1"/>
  <c r="P187" i="44"/>
  <c r="R186" i="44"/>
  <c r="R185" i="44"/>
  <c r="R184" i="44"/>
  <c r="R183" i="44"/>
  <c r="R182" i="44"/>
  <c r="Q181" i="44"/>
  <c r="P181" i="44"/>
  <c r="R181" i="44" s="1"/>
  <c r="Q180" i="44"/>
  <c r="P180" i="44"/>
  <c r="R180" i="44" s="1"/>
  <c r="R179" i="44"/>
  <c r="R178" i="44"/>
  <c r="R176" i="44"/>
  <c r="R175" i="44"/>
  <c r="R174" i="44"/>
  <c r="R173" i="44"/>
  <c r="R172" i="44"/>
  <c r="R171" i="44"/>
  <c r="R170" i="44"/>
  <c r="R169" i="44"/>
  <c r="R168" i="44"/>
  <c r="R167" i="44"/>
  <c r="R166" i="44"/>
  <c r="S161" i="44"/>
  <c r="E161" i="44"/>
  <c r="S160" i="44"/>
  <c r="E160" i="44"/>
  <c r="R159" i="44"/>
  <c r="Q159" i="44"/>
  <c r="S159" i="44" s="1"/>
  <c r="P159" i="44"/>
  <c r="D159" i="44"/>
  <c r="C159" i="44"/>
  <c r="B159" i="44"/>
  <c r="E159" i="44" s="1"/>
  <c r="D156" i="44"/>
  <c r="R155" i="44"/>
  <c r="D155" i="44"/>
  <c r="R154" i="44"/>
  <c r="D154" i="44"/>
  <c r="C154" i="44"/>
  <c r="B154" i="44"/>
  <c r="R153" i="44"/>
  <c r="Q153" i="44"/>
  <c r="P153" i="44"/>
  <c r="D153" i="44"/>
  <c r="D151" i="44" s="1"/>
  <c r="R152" i="44"/>
  <c r="D152" i="44"/>
  <c r="R151" i="44"/>
  <c r="C151" i="44"/>
  <c r="B151" i="44"/>
  <c r="R150" i="44"/>
  <c r="Q150" i="44"/>
  <c r="P150" i="44"/>
  <c r="D150" i="44"/>
  <c r="R149" i="44"/>
  <c r="D149" i="44"/>
  <c r="R148" i="44"/>
  <c r="R147" i="44" s="1"/>
  <c r="D148" i="44"/>
  <c r="C148" i="44"/>
  <c r="B148" i="44"/>
  <c r="Q147" i="44"/>
  <c r="P147" i="44"/>
  <c r="D147" i="44"/>
  <c r="R146" i="44"/>
  <c r="D146" i="44"/>
  <c r="R145" i="44"/>
  <c r="D145" i="44"/>
  <c r="C145" i="44"/>
  <c r="B145" i="44"/>
  <c r="R144" i="44"/>
  <c r="Q144" i="44"/>
  <c r="P144" i="44"/>
  <c r="D144" i="44"/>
  <c r="R143" i="44"/>
  <c r="R141" i="44" s="1"/>
  <c r="D143" i="44"/>
  <c r="D142" i="44" s="1"/>
  <c r="R142" i="44"/>
  <c r="C142" i="44"/>
  <c r="B142" i="44"/>
  <c r="Q141" i="44"/>
  <c r="P141" i="44"/>
  <c r="D141" i="44"/>
  <c r="D136" i="44"/>
  <c r="S135" i="44"/>
  <c r="D135" i="44"/>
  <c r="S134" i="44"/>
  <c r="D134" i="44"/>
  <c r="S133" i="44"/>
  <c r="D133" i="44"/>
  <c r="S132" i="44"/>
  <c r="D132" i="44"/>
  <c r="R131" i="44"/>
  <c r="Q131" i="44"/>
  <c r="S131" i="44" s="1"/>
  <c r="D131" i="44"/>
  <c r="S130" i="44"/>
  <c r="D130" i="44"/>
  <c r="D126" i="44"/>
  <c r="S125" i="44"/>
  <c r="D125" i="44"/>
  <c r="S124" i="44"/>
  <c r="D124" i="44"/>
  <c r="S123" i="44"/>
  <c r="D123" i="44"/>
  <c r="S122" i="44"/>
  <c r="D122" i="44"/>
  <c r="S121" i="44"/>
  <c r="D121" i="44"/>
  <c r="S120" i="44"/>
  <c r="D120" i="44"/>
  <c r="S117" i="44"/>
  <c r="D117" i="44"/>
  <c r="S116" i="44"/>
  <c r="D116" i="44"/>
  <c r="S115" i="44"/>
  <c r="D115" i="44"/>
  <c r="S114" i="44"/>
  <c r="D114" i="44"/>
  <c r="D110" i="44"/>
  <c r="S109" i="44"/>
  <c r="D109" i="44"/>
  <c r="S108" i="44"/>
  <c r="D108" i="44"/>
  <c r="S107" i="44"/>
  <c r="D107" i="44"/>
  <c r="D103" i="44"/>
  <c r="S102" i="44"/>
  <c r="D102" i="44"/>
  <c r="S101" i="44"/>
  <c r="D101" i="44"/>
  <c r="S100" i="44"/>
  <c r="D100" i="44"/>
  <c r="S99" i="44"/>
  <c r="D99" i="44"/>
  <c r="S98" i="44"/>
  <c r="D98" i="44"/>
  <c r="S97" i="44"/>
  <c r="D97" i="44"/>
  <c r="S96" i="44"/>
  <c r="D96" i="44"/>
  <c r="D94" i="44"/>
  <c r="S93" i="44"/>
  <c r="D93" i="44"/>
  <c r="S92" i="44"/>
  <c r="D92" i="44"/>
  <c r="S91" i="44"/>
  <c r="D91" i="44"/>
  <c r="S90" i="44"/>
  <c r="D90" i="44"/>
  <c r="S89" i="44"/>
  <c r="D89" i="44"/>
  <c r="S88" i="44"/>
  <c r="D88" i="44"/>
  <c r="S87" i="44"/>
  <c r="D87" i="44"/>
  <c r="S86" i="44"/>
  <c r="D86" i="44"/>
  <c r="E80" i="44"/>
  <c r="T79" i="44"/>
  <c r="E79" i="44"/>
  <c r="T78" i="44"/>
  <c r="E78" i="44"/>
  <c r="T77" i="44"/>
  <c r="D77" i="44"/>
  <c r="C77" i="44"/>
  <c r="B77" i="44"/>
  <c r="E77" i="44" s="1"/>
  <c r="E76" i="44"/>
  <c r="T75" i="44"/>
  <c r="E75" i="44"/>
  <c r="T74" i="44"/>
  <c r="D74" i="44"/>
  <c r="C74" i="44"/>
  <c r="B74" i="44"/>
  <c r="E74" i="44" s="1"/>
  <c r="E69" i="44"/>
  <c r="E68" i="44"/>
  <c r="S67" i="44"/>
  <c r="E67" i="44"/>
  <c r="S66" i="44"/>
  <c r="D66" i="44"/>
  <c r="C66" i="44"/>
  <c r="B66" i="44"/>
  <c r="E66" i="44" s="1"/>
  <c r="S65" i="44"/>
  <c r="S64" i="44" s="1"/>
  <c r="E65" i="44"/>
  <c r="R64" i="44"/>
  <c r="Q64" i="44"/>
  <c r="E64" i="44"/>
  <c r="D63" i="44"/>
  <c r="C63" i="44"/>
  <c r="B63" i="44"/>
  <c r="E63" i="44" s="1"/>
  <c r="T62" i="44"/>
  <c r="E62" i="44"/>
  <c r="T61" i="44"/>
  <c r="E61" i="44"/>
  <c r="T60" i="44"/>
  <c r="E60" i="44"/>
  <c r="T59" i="44"/>
  <c r="E59" i="44"/>
  <c r="D59" i="44"/>
  <c r="C59" i="44"/>
  <c r="B59" i="44"/>
  <c r="S58" i="44"/>
  <c r="R58" i="44"/>
  <c r="Q58" i="44"/>
  <c r="T58" i="44" s="1"/>
  <c r="E58" i="44"/>
  <c r="T54" i="44"/>
  <c r="T53" i="44"/>
  <c r="E53" i="44"/>
  <c r="T52" i="44"/>
  <c r="E52" i="44"/>
  <c r="T50" i="44"/>
  <c r="E50" i="44"/>
  <c r="E49" i="44"/>
  <c r="T48" i="44"/>
  <c r="E48" i="44"/>
  <c r="T47" i="44"/>
  <c r="E46" i="44"/>
  <c r="T45" i="44"/>
  <c r="E45" i="44"/>
  <c r="T44" i="44"/>
  <c r="E44" i="44"/>
  <c r="D43" i="44"/>
  <c r="C43" i="44"/>
  <c r="B43" i="44"/>
  <c r="E43" i="44" s="1"/>
  <c r="T42" i="44"/>
  <c r="E42" i="44"/>
  <c r="T41" i="44"/>
  <c r="E41" i="44"/>
  <c r="T40" i="44"/>
  <c r="D40" i="44"/>
  <c r="C40" i="44"/>
  <c r="B40" i="44"/>
  <c r="E40" i="44" s="1"/>
</calcChain>
</file>

<file path=xl/sharedStrings.xml><?xml version="1.0" encoding="utf-8"?>
<sst xmlns="http://schemas.openxmlformats.org/spreadsheetml/2006/main" count="835" uniqueCount="561">
  <si>
    <t>Remarks</t>
  </si>
  <si>
    <t>TOTAL</t>
  </si>
  <si>
    <t>10-14</t>
  </si>
  <si>
    <t>15-19</t>
  </si>
  <si>
    <t>20-49</t>
  </si>
  <si>
    <t>1. No. of women of reproductive age (WRA) 15-49 years old who have demand for Family Planning (FP) and currently using, or whose partner is currently using, any modern FP methods</t>
  </si>
  <si>
    <t>3. Condom</t>
  </si>
  <si>
    <t>4. Pills</t>
  </si>
  <si>
    <t xml:space="preserve">     a. Pills-POP</t>
  </si>
  <si>
    <t xml:space="preserve">     b. Pills-COC</t>
  </si>
  <si>
    <t>6. Implant</t>
  </si>
  <si>
    <t>7. IUD</t>
  </si>
  <si>
    <t xml:space="preserve">     a. IUD-Interval</t>
  </si>
  <si>
    <t xml:space="preserve">     b. IUD-PP</t>
  </si>
  <si>
    <t>8. NFP-LAM</t>
  </si>
  <si>
    <t>9. NFP-BBT</t>
  </si>
  <si>
    <t>10. NFP-CMM</t>
  </si>
  <si>
    <t>11. NFP-STM</t>
  </si>
  <si>
    <t>12. NFP-SDM</t>
  </si>
  <si>
    <t>1. BTL</t>
  </si>
  <si>
    <t>2. NSV</t>
  </si>
  <si>
    <t>5. Injectables (DMPA)</t>
  </si>
  <si>
    <t>POSTPARTUM CARE</t>
  </si>
  <si>
    <t>Male</t>
  </si>
  <si>
    <t>Female</t>
  </si>
  <si>
    <t>Total</t>
  </si>
  <si>
    <t>2. Postpartum Supplementation</t>
  </si>
  <si>
    <t>3. BCG (more than 24 hours to 11 months and 29 days)</t>
  </si>
  <si>
    <t>5. Hep B antigen more than 24 hrs up to 14 days</t>
  </si>
  <si>
    <t>6. DPT-HiB-HepB 1</t>
  </si>
  <si>
    <t>7. DPT-HiB-HepB 2</t>
  </si>
  <si>
    <t>8. DPT-HiB-HepB 3</t>
  </si>
  <si>
    <t>9. OPV 1</t>
  </si>
  <si>
    <t>10. OPV 2</t>
  </si>
  <si>
    <t>11. OPV 3</t>
  </si>
  <si>
    <t>12. IPV 1</t>
  </si>
  <si>
    <t>13. IPV 2</t>
  </si>
  <si>
    <t>14. PCV 1</t>
  </si>
  <si>
    <t>15. PCV 2</t>
  </si>
  <si>
    <t>16. PCV 3</t>
  </si>
  <si>
    <t>17. MMR 1</t>
  </si>
  <si>
    <t>1. DPT-HiB-HepB 1</t>
  </si>
  <si>
    <t>2. DPT-HiB-HepB 2</t>
  </si>
  <si>
    <t>3. DPT-HiB-HepB 3</t>
  </si>
  <si>
    <t>4. OPV 1</t>
  </si>
  <si>
    <t>5. OPV 2</t>
  </si>
  <si>
    <t>6. OPV 3</t>
  </si>
  <si>
    <t>7. IPV 1</t>
  </si>
  <si>
    <t>8. IPV 2</t>
  </si>
  <si>
    <t>9. PCV 1</t>
  </si>
  <si>
    <t>10. PCV 2</t>
  </si>
  <si>
    <t>11. PCV 3</t>
  </si>
  <si>
    <t>12. MMR 1</t>
  </si>
  <si>
    <t>13. MMR 2</t>
  </si>
  <si>
    <t>1. Grade 1 learners given Td</t>
  </si>
  <si>
    <t>4. Grade 7 learners given MR</t>
  </si>
  <si>
    <t>5. HPV 1 (SBI)</t>
  </si>
  <si>
    <t>6. HPV 1 (CBI)</t>
  </si>
  <si>
    <t>7. HPV 2 (CBI)</t>
  </si>
  <si>
    <t>1. Newborns who were initiated on breastfeeding within 1 hour after birth</t>
  </si>
  <si>
    <t>2. Infants born with low birth weight (LBW) given complete Iron supplements</t>
  </si>
  <si>
    <t>7a. Cured</t>
  </si>
  <si>
    <t>7b. Non-cured</t>
  </si>
  <si>
    <t>7c. Defaulted</t>
  </si>
  <si>
    <t>7d. Died</t>
  </si>
  <si>
    <t>8a. Cured</t>
  </si>
  <si>
    <t>8b. Non-cured</t>
  </si>
  <si>
    <t>8c. Defaulted</t>
  </si>
  <si>
    <t>8d. Died</t>
  </si>
  <si>
    <t>1. Sick infants aged 6-11 months old seen</t>
  </si>
  <si>
    <t>1a. Sick infants aged 6-11 months old who received Vitamin A capsule aside from routine supplementation</t>
  </si>
  <si>
    <t>3. Acute diarrhea cases 0-59 months old seen</t>
  </si>
  <si>
    <t>3a. 0-59 months old with acute diarrhea who received ORS only</t>
  </si>
  <si>
    <t>3b. 0-59 months old with acute diarrhea who received ORS and Zinc drops/syrup</t>
  </si>
  <si>
    <t>4. Pneumonia cases 0-59 months old seen</t>
  </si>
  <si>
    <t>4a. 0-59 months old with pneumonia who received antibiotic treatment</t>
  </si>
  <si>
    <t xml:space="preserve">     a. Amoxicillin drops suspension</t>
  </si>
  <si>
    <t xml:space="preserve">     b. Amoxicillin-clavulanate suspension</t>
  </si>
  <si>
    <t xml:space="preserve">     c. Cefuroxime suspension</t>
  </si>
  <si>
    <t xml:space="preserve">     d. Other antibiotics</t>
  </si>
  <si>
    <t>Indicators</t>
  </si>
  <si>
    <t xml:space="preserve">1. Children protected at birth (CPAB) </t>
  </si>
  <si>
    <t>2. BCG (within 24 hours)</t>
  </si>
  <si>
    <t>2. Grade 1 learners given MR</t>
  </si>
  <si>
    <t>3. Grade 7 learners given Td</t>
  </si>
  <si>
    <t>4a. Infants aged 6-11 months old who completed routine MNP supplementation</t>
  </si>
  <si>
    <t>4b. Children aged 12-23 months old who completed routine MNP supplementation</t>
  </si>
  <si>
    <t>5b. Children aged 12-23 months old who completed routine LNS-SQ supplementation</t>
  </si>
  <si>
    <t>6. Children 0-59 months old SEEN during the reporting period at health facilities</t>
  </si>
  <si>
    <t>a. Senior Citizens screened using the geriatric screening tool</t>
  </si>
  <si>
    <t>b. Senior Citizens with a positive geriatric screening result</t>
  </si>
  <si>
    <t>b1. Memory</t>
  </si>
  <si>
    <t>b2. Depression</t>
  </si>
  <si>
    <t>b3. Polypharmacy</t>
  </si>
  <si>
    <t>b4. Urinary Incontinence</t>
  </si>
  <si>
    <t>b5. Functional Capacity</t>
  </si>
  <si>
    <t>b6. Fall (History and Screening Test)</t>
  </si>
  <si>
    <t>b7. Malnutrition</t>
  </si>
  <si>
    <t>b8. Hearing</t>
  </si>
  <si>
    <t>b9. Vision</t>
  </si>
  <si>
    <t>c. Referred to Appropriate Specialist or Service Providers</t>
  </si>
  <si>
    <t>Part I. Mortality</t>
  </si>
  <si>
    <t>Part II. Natality</t>
  </si>
  <si>
    <t>B. Rabies</t>
  </si>
  <si>
    <t>1. Animal Bites</t>
  </si>
  <si>
    <t>No. of Animal Bites</t>
  </si>
  <si>
    <t>2. Rabies Death</t>
  </si>
  <si>
    <t>No. of Rabies Death</t>
  </si>
  <si>
    <t>C. Schistosomiasis</t>
  </si>
  <si>
    <t>1. Patients Seen</t>
  </si>
  <si>
    <t xml:space="preserve">  1a. 1-4 years old</t>
  </si>
  <si>
    <t xml:space="preserve">  1b. 5-14 yrs old </t>
  </si>
  <si>
    <t xml:space="preserve">  1c. 15-19 yrs old</t>
  </si>
  <si>
    <t xml:space="preserve">  1d. 20-59 yrs old</t>
  </si>
  <si>
    <t xml:space="preserve">  1e. 60 yrs old and above</t>
  </si>
  <si>
    <t>2. Clinical/Suspected Schistosomiasis Cases Seen</t>
  </si>
  <si>
    <t xml:space="preserve">  2a. 1-4 years old</t>
  </si>
  <si>
    <t xml:space="preserve">  2b. 5-14 yrs old </t>
  </si>
  <si>
    <t xml:space="preserve">  2c. 15-19 yrs old</t>
  </si>
  <si>
    <t xml:space="preserve">  2d. 20-59 yrs old</t>
  </si>
  <si>
    <t xml:space="preserve">  2e. 60 yrs old and above</t>
  </si>
  <si>
    <t>3. Clinical/Suspected Schistosomiasis Cases Treated by age group</t>
  </si>
  <si>
    <t xml:space="preserve">  3a. 5-14 years old</t>
  </si>
  <si>
    <t xml:space="preserve">  3a. 15-19 years old</t>
  </si>
  <si>
    <t xml:space="preserve">  3a. 20-59 years old</t>
  </si>
  <si>
    <t xml:space="preserve">  3a. 60 years old and above</t>
  </si>
  <si>
    <t>5. Clinical/Suspected Schistosomiasis Cases Cured</t>
  </si>
  <si>
    <t xml:space="preserve">  5a. 5-14 years old</t>
  </si>
  <si>
    <t xml:space="preserve">  5b. 15-19 years old</t>
  </si>
  <si>
    <t xml:space="preserve">  5c. 20-59 years old</t>
  </si>
  <si>
    <t xml:space="preserve">  5d. 60 years old and above</t>
  </si>
  <si>
    <t>6. Confirmed COMPLICATED Schistosomiasis Cases by age group</t>
  </si>
  <si>
    <t xml:space="preserve">  6a. 5-14 years old</t>
  </si>
  <si>
    <t xml:space="preserve">  6b. 15-19 years old</t>
  </si>
  <si>
    <t xml:space="preserve">  6c. 20-59 years old</t>
  </si>
  <si>
    <t xml:space="preserve">  6d. 60 years old and above</t>
  </si>
  <si>
    <t>7. Confirmed NON-COMPLICATED Schistosomiasis Cases by age group</t>
  </si>
  <si>
    <t xml:space="preserve">  7a. 5-14 years old</t>
  </si>
  <si>
    <t xml:space="preserve">  7b. 15-19 years old</t>
  </si>
  <si>
    <t xml:space="preserve">  7c. 20-59 years old</t>
  </si>
  <si>
    <t xml:space="preserve">  7d. 60 years old and above</t>
  </si>
  <si>
    <t xml:space="preserve">  8a. 5-14 years old</t>
  </si>
  <si>
    <t xml:space="preserve">  8b. 15-19 years old</t>
  </si>
  <si>
    <t xml:space="preserve">  8c. 20-59 years old</t>
  </si>
  <si>
    <t xml:space="preserve">  8d. 60 years old and above</t>
  </si>
  <si>
    <t xml:space="preserve">  10a. 1st treatment</t>
  </si>
  <si>
    <t xml:space="preserve">  10b. Retreatment</t>
  </si>
  <si>
    <t>11. Confirmed COMPLICATED Schistosomiasis Cases Cured by age group</t>
  </si>
  <si>
    <t xml:space="preserve">  11a. 5-14 years old</t>
  </si>
  <si>
    <t xml:space="preserve">  11b. 15-19 years old</t>
  </si>
  <si>
    <t xml:space="preserve">  11c. 20-59 years old</t>
  </si>
  <si>
    <t xml:space="preserve">  11d. 60 years old and above</t>
  </si>
  <si>
    <t>12. Confirmed NON-COMPLICATED Schistosomiasis Cases Cured by age group</t>
  </si>
  <si>
    <t xml:space="preserve">  12a. 5-14 years old</t>
  </si>
  <si>
    <t xml:space="preserve">  12b. 15-19 years old</t>
  </si>
  <si>
    <t xml:space="preserve">  12c. 20-59 years old</t>
  </si>
  <si>
    <t xml:space="preserve">  12d. 60 years old and above</t>
  </si>
  <si>
    <t>13. Confirmed Schistosomiasis Cases Referred to Hospital Facility</t>
  </si>
  <si>
    <t xml:space="preserve">  13a. 1-4 years old</t>
  </si>
  <si>
    <t xml:space="preserve">  13b. 5-14 yrs old </t>
  </si>
  <si>
    <t xml:space="preserve">  13c. 15-19 yrs old</t>
  </si>
  <si>
    <t xml:space="preserve">  13d. 20-59 yrs old</t>
  </si>
  <si>
    <t xml:space="preserve">  13e. 60 yrs old and above</t>
  </si>
  <si>
    <t>14. Individuals dewormed with one (1) dose of Praziquantel during MDA</t>
  </si>
  <si>
    <t xml:space="preserve">  14a. 5-14 yrs old </t>
  </si>
  <si>
    <t xml:space="preserve">  14b. 15-19 yrs old</t>
  </si>
  <si>
    <t xml:space="preserve">  14c. 20-59 yrs old</t>
  </si>
  <si>
    <t xml:space="preserve">  14d. 60 yrs old and above</t>
  </si>
  <si>
    <t>D. Soil-Transmitted Helminthiasis</t>
  </si>
  <si>
    <t>1. Screened for STH</t>
  </si>
  <si>
    <t>2. Suspected Cases of STH by place of diagnosis</t>
  </si>
  <si>
    <t>3. Suspected Cases of STH by age group</t>
  </si>
  <si>
    <t>4. Confirmed STH Cases by place of diagnosis</t>
  </si>
  <si>
    <t>5. Confirmed STH Cases by age group</t>
  </si>
  <si>
    <t>6. Confirmed STH Cases Treated by place of diagnosis</t>
  </si>
  <si>
    <t>7. Confirmed STH Cases Treated by age group</t>
  </si>
  <si>
    <t>8. 1-4 years old who were dewormed during January MDA</t>
  </si>
  <si>
    <t xml:space="preserve">  8a. School-Based deworming services</t>
  </si>
  <si>
    <t xml:space="preserve">  8b. Community Based services</t>
  </si>
  <si>
    <t>9. 1-4 years old who were dewormed during July MDA</t>
  </si>
  <si>
    <t xml:space="preserve">  9a. School-Based deworming services</t>
  </si>
  <si>
    <t xml:space="preserve">  9b. Community Based services</t>
  </si>
  <si>
    <t>10. 5-14 years old who were dewormed during January MDA</t>
  </si>
  <si>
    <t xml:space="preserve">  10a. School-Based deworming services</t>
  </si>
  <si>
    <t xml:space="preserve">  10b. Community Based services</t>
  </si>
  <si>
    <t>11. 5-14 years old who were dewormed during July MDA</t>
  </si>
  <si>
    <t xml:space="preserve">  11a. School-Based deworming services</t>
  </si>
  <si>
    <t xml:space="preserve">  11b. Community Based services</t>
  </si>
  <si>
    <t>F. HIV-AIDS/STI</t>
  </si>
  <si>
    <t xml:space="preserve"> 1a. 10-14 years old</t>
  </si>
  <si>
    <t xml:space="preserve"> 1b. 15-19 years old</t>
  </si>
  <si>
    <t xml:space="preserve"> 1c. 20-49 years old</t>
  </si>
  <si>
    <t xml:space="preserve"> 2a. 10-14 years old</t>
  </si>
  <si>
    <t xml:space="preserve"> 2b. 15-19 years old</t>
  </si>
  <si>
    <t xml:space="preserve"> 2c. 20-49 years old</t>
  </si>
  <si>
    <t xml:space="preserve"> 3a. 10-14 years old</t>
  </si>
  <si>
    <t xml:space="preserve"> 3b. 15-19 years old</t>
  </si>
  <si>
    <t xml:space="preserve"> 3c. 20-49 years old</t>
  </si>
  <si>
    <t xml:space="preserve"> 4a. 10-14 years old</t>
  </si>
  <si>
    <t xml:space="preserve"> 4b. 15-19 years old</t>
  </si>
  <si>
    <t xml:space="preserve"> 4c. 20-49 years old</t>
  </si>
  <si>
    <t xml:space="preserve"> 5a. 10-14 years old</t>
  </si>
  <si>
    <t xml:space="preserve"> 5b. 15-19 years old</t>
  </si>
  <si>
    <t xml:space="preserve"> 5c. 20-49 years old</t>
  </si>
  <si>
    <t xml:space="preserve"> 6a. 10-14 years old</t>
  </si>
  <si>
    <t xml:space="preserve"> 6b. 15-19 years old</t>
  </si>
  <si>
    <t xml:space="preserve"> 6c. 20-49 years old</t>
  </si>
  <si>
    <t xml:space="preserve"> 7a. 10-14 years old</t>
  </si>
  <si>
    <t xml:space="preserve"> 7b. 15-19 years old</t>
  </si>
  <si>
    <t xml:space="preserve"> 7c. 20-49 years old</t>
  </si>
  <si>
    <t>SECTION A. FAMILY PLANNING SERVICES FOR WOMEN OF REPRODUCTIVE AGE</t>
  </si>
  <si>
    <t>Age Group</t>
  </si>
  <si>
    <t>Total WRA 15-49 yrs old</t>
  </si>
  <si>
    <t>10-14 yrs old</t>
  </si>
  <si>
    <t>15-19 yrs old</t>
  </si>
  <si>
    <t>20-49 yrs old</t>
  </si>
  <si>
    <t>Acceptors</t>
  </si>
  <si>
    <t>New Acceptors (Previous Month)</t>
  </si>
  <si>
    <t>Other Acceptors (Present Month)</t>
  </si>
  <si>
    <t xml:space="preserve">     a. Implants-Interval</t>
  </si>
  <si>
    <t xml:space="preserve">     b. Implants-PP</t>
  </si>
  <si>
    <t>Total Current Users</t>
  </si>
  <si>
    <t>SECTION B. MATERNAL CARE AND SERVICES</t>
  </si>
  <si>
    <t>PRENATAL CARE SERVICES</t>
  </si>
  <si>
    <t>1a. No. of Women who delivered and completed at least 
     8ANC =(a1+a2)</t>
  </si>
  <si>
    <t>1b. No. of Women who delivered and who were tracked 
      during pregnancy =(b1+b2)</t>
  </si>
  <si>
    <t xml:space="preserve">        2a. Normal BMI</t>
  </si>
  <si>
    <t xml:space="preserve">        2b. Low BMI</t>
  </si>
  <si>
    <t xml:space="preserve">        2c. High BMI</t>
  </si>
  <si>
    <t xml:space="preserve">      5a. No. of pregnant women given one dose of deworming
            tablet</t>
  </si>
  <si>
    <t xml:space="preserve">       3a. Number of women pregnant for the first time given at 
             least 2 doses of Tetanus diphtheria (Td) vaccination</t>
  </si>
  <si>
    <t xml:space="preserve">      8a. No. of pregnant women who had their BP measured during
            each of their antenatal care visit</t>
  </si>
  <si>
    <t xml:space="preserve">      3b. Number of Pregnant Women for the 2nd or more times 
            given at least 3 doses of Td vaccination (Td2 Plus)</t>
  </si>
  <si>
    <t xml:space="preserve">      8b1. No. of pregnant women identified with high BP or danger signs</t>
  </si>
  <si>
    <t xml:space="preserve">      8b2. No. of pregnant women with high BP or danger signs who
            were referred to a higher-level facility</t>
  </si>
  <si>
    <t>INTRAPARTUM AND NEWBORN CARE</t>
  </si>
  <si>
    <t xml:space="preserve">      2a. Physicians</t>
  </si>
  <si>
    <t xml:space="preserve">      2b. Nurses</t>
  </si>
  <si>
    <t xml:space="preserve">      2c. Midwives</t>
  </si>
  <si>
    <t>4. Delivery by Type =(4a+4b+4c)</t>
  </si>
  <si>
    <t>1a. Total No. of women who delivered and completed at 
      least 4PNC =(a1+a2)</t>
  </si>
  <si>
    <t>1b. Total No. of women due for PNC =(b1+b2)</t>
  </si>
  <si>
    <t xml:space="preserve">      1a. No. of postpartum women who had their BP measured during
            each of their postnatal care visit</t>
  </si>
  <si>
    <t xml:space="preserve">      2b2. No. of postpartum women with high BP or danger signs who
            were referred to a higher-level facility</t>
  </si>
  <si>
    <t>SECTION C. CHILD CARE AND SERVICES</t>
  </si>
  <si>
    <t>Sex</t>
  </si>
  <si>
    <t>IMMUNIZATION</t>
  </si>
  <si>
    <t>A.1. Immunization Services (0-11 months old current year)</t>
  </si>
  <si>
    <t>4. Hep B antigen with in 24 hrs after birth</t>
  </si>
  <si>
    <t>A.2. Immunization Services (0-11 months of previous year)</t>
  </si>
  <si>
    <t>14. FIC</t>
  </si>
  <si>
    <t>15. CIC</t>
  </si>
  <si>
    <t>A.3. School and Community-Based Immunization</t>
  </si>
  <si>
    <t>NUTRITION</t>
  </si>
  <si>
    <t>3a. Infants aged 6-11 months old who received 1 dose of Vitamin A supplementation</t>
  </si>
  <si>
    <t>5a. Infants aged 6-11 months old who completed routine LNS-SQ supplementation</t>
  </si>
  <si>
    <t xml:space="preserve">3b. Children aged 12-59 months old who completed 2 doses of Vitamin A Supplementation
</t>
  </si>
  <si>
    <t>MANAGEMENT OF SICK</t>
  </si>
  <si>
    <t>2. Sick infants aged 12-59 months old seen</t>
  </si>
  <si>
    <t>2a. Sick infants aged 12-59 months old who received Vitamin A capsule aside from routine supplementation</t>
  </si>
  <si>
    <t>SECTION D. ORAL HEALTH CARE SERVICES</t>
  </si>
  <si>
    <t>FIRST VISIT TO AN ORAL HEALTH CARE PROFESSIONAL</t>
  </si>
  <si>
    <t>1. Children 1-4 years old who completed 2 visits to an oral health care professional within a year</t>
  </si>
  <si>
    <t>1. Children 1-4 years old who had their 1st visit to an oral health care professional within a year</t>
  </si>
  <si>
    <t>2. Children 5-9 years old who completed 2 visits to an oral health care professional within a year</t>
  </si>
  <si>
    <t>2. Children 5-9 years old who had their 1st visit to an oral health care professional within a year</t>
  </si>
  <si>
    <t>3. Adolescents 10-19 years old who completed 2 visits to an oral health care professional within a year</t>
  </si>
  <si>
    <t>3. Adolescents 10-19 years old who had their 1st visit to an oral health care professional within a year</t>
  </si>
  <si>
    <t>4. Adults 20-59 years old who completed 2 visits to an oral health care professional within a year</t>
  </si>
  <si>
    <t>4. Adults 20-59 years old who had their 1st visit to an oral health care professional within a year</t>
  </si>
  <si>
    <t>5. Senior Citizens 60 years old and above who completed 2 visits to an oral health care professional within a year</t>
  </si>
  <si>
    <t>5. Senior Citizens 60 years old and above who had their 1st visit to an oral health care professional within a year</t>
  </si>
  <si>
    <t>6. Pregnant Women who had their 1st visit to an oral health care professional within a year</t>
  </si>
  <si>
    <t>6. Pregnant Women who completed 2 visits to an oral health care professional within a year</t>
  </si>
  <si>
    <t>SECTION E. NON-COMMUNICABLE DISEASES</t>
  </si>
  <si>
    <t>E1. Lifestyle Related</t>
  </si>
  <si>
    <t>1. Adults 20-59 years old who were risk assessed using the PhilPEN protocol</t>
  </si>
  <si>
    <t>2. Senior Citizens 60 years old and above who were risk assessed using the PhilPEN protocol</t>
  </si>
  <si>
    <t>1a. Current Smokers</t>
  </si>
  <si>
    <t>2a. Current Smokers</t>
  </si>
  <si>
    <t xml:space="preserve">      a. Tobacco Products</t>
  </si>
  <si>
    <t xml:space="preserve">     a. Tobacco Products</t>
  </si>
  <si>
    <t xml:space="preserve">      b. Vaporized Nicotine Products</t>
  </si>
  <si>
    <t xml:space="preserve">     b. Vaporized Nicotine Products</t>
  </si>
  <si>
    <t xml:space="preserve">      c. Both</t>
  </si>
  <si>
    <t xml:space="preserve">     c. Both</t>
  </si>
  <si>
    <t>1b. Provided Brief Tobacco Intervention</t>
  </si>
  <si>
    <t>2b. Provided Brief Tobacco Intervention</t>
  </si>
  <si>
    <t>1c. Binge Drinker</t>
  </si>
  <si>
    <t>2c. Binge Drinker</t>
  </si>
  <si>
    <t>1d. Insufficient physical activities</t>
  </si>
  <si>
    <t>2d. Insufficient physical activities</t>
  </si>
  <si>
    <t>1e. Consumed unhealthy diet</t>
  </si>
  <si>
    <t>2e. Consumed unhealthy diet</t>
  </si>
  <si>
    <t>1f. Overweight</t>
  </si>
  <si>
    <t>2f. Overweight</t>
  </si>
  <si>
    <t>1g. Obese</t>
  </si>
  <si>
    <t>2g. Obese</t>
  </si>
  <si>
    <t>E2. Cardiovascular Disease Prevention and Control</t>
  </si>
  <si>
    <t>E3. Diabetes Mellitus Prevention and Control</t>
  </si>
  <si>
    <t>1. Adults 20-59 years old who were identified as hypertensive using the PhilPEN protocol</t>
  </si>
  <si>
    <t>1. Adults 20-59 years old who were identified with Type II Diabetes using the PhilPEN protocol</t>
  </si>
  <si>
    <t>2. Hypertensives 20-59 years old provided with antihypertensive medications</t>
  </si>
  <si>
    <t>2. Type II Diabetics 20-59 years old provided with antidiabetic medications</t>
  </si>
  <si>
    <t xml:space="preserve">     2a. Provided by facility (100%)</t>
  </si>
  <si>
    <t xml:space="preserve">     2b. Out of pocket</t>
  </si>
  <si>
    <t xml:space="preserve">     2c. Both</t>
  </si>
  <si>
    <t>3. Senior Citizens 60 years old and above who were identified as hypertensive using the PhilPEN protocol</t>
  </si>
  <si>
    <t>3. Senior Citizens 60 years old and above who were identified with Type II Diabetes using the PhilPEN protocol</t>
  </si>
  <si>
    <t>4. Hypertensives 60 years old and above provided with antihypertensive medications</t>
  </si>
  <si>
    <t>4. Type II Diabetics 60 years old and above provided with antidiabetic medications</t>
  </si>
  <si>
    <t xml:space="preserve">     4a. Provided by facility (100%)</t>
  </si>
  <si>
    <t xml:space="preserve">     4b. Out of pocket</t>
  </si>
  <si>
    <t xml:space="preserve">     4c. Both</t>
  </si>
  <si>
    <t>E4. Blindness Prevention Program</t>
  </si>
  <si>
    <t>1. Screened for eye disease/s</t>
  </si>
  <si>
    <t>2c. 20-59 years old screened and identified with at least one eye ailment</t>
  </si>
  <si>
    <t xml:space="preserve">     1a. 0-9 years old screened for eye disease/s</t>
  </si>
  <si>
    <t>2c1. Changes in vision</t>
  </si>
  <si>
    <t xml:space="preserve">     1b. 10-19 years old screened for eye disease/s</t>
  </si>
  <si>
    <t>2c2. Changes in appearance</t>
  </si>
  <si>
    <t xml:space="preserve">     1c. 20-59 years old screened for eye disease/s</t>
  </si>
  <si>
    <t>2c3. Eye and orbital injury</t>
  </si>
  <si>
    <t xml:space="preserve">     1d.60 years old and above screened for eye disease/s</t>
  </si>
  <si>
    <t>2c4. Routine eye exams</t>
  </si>
  <si>
    <t>2. Screened and identified with eye disease/s</t>
  </si>
  <si>
    <t>2d. 60 years old and above screened and identified with at least one eye ailment</t>
  </si>
  <si>
    <t>2a. 0-9 years old screened and identified with at least one eye ailment</t>
  </si>
  <si>
    <t>2d1. Changes in vision</t>
  </si>
  <si>
    <t xml:space="preserve">            2a1. Changes in vision</t>
  </si>
  <si>
    <t>2d2. Changes in appearance</t>
  </si>
  <si>
    <t xml:space="preserve">           2a2. Changes in appearance</t>
  </si>
  <si>
    <t>2d3. Eye and orbital injury</t>
  </si>
  <si>
    <t xml:space="preserve">          2a3. Eye and orbital injury</t>
  </si>
  <si>
    <t>2d4. Routine eye exams</t>
  </si>
  <si>
    <t xml:space="preserve">          2a4. Routine eye exams</t>
  </si>
  <si>
    <t>E5. Immunization for Senior Citizens</t>
  </si>
  <si>
    <t>2b. 10-19 years old screened and identified with at least one eye ailment</t>
  </si>
  <si>
    <t>1. Senior Citizens Seen who had not previously received PPV upon reaching 60 years old</t>
  </si>
  <si>
    <t>2b1. Changes in vision</t>
  </si>
  <si>
    <t>2. Senior citizens aged 60 years old and above who received one (1) dose of Pneumococcal Polysaccharide Vaccine</t>
  </si>
  <si>
    <t>2b2. Changes in appearance</t>
  </si>
  <si>
    <t>3. Senior Citizens Seen</t>
  </si>
  <si>
    <t>2b3. Eye and orbital injury</t>
  </si>
  <si>
    <t>4. Senior citizens aged 60 years old and above who received one (1) dose of Influenza Vaccine</t>
  </si>
  <si>
    <t>2b4. Routine eye exams</t>
  </si>
  <si>
    <t>3. Identified with eye disease/s and referred to an eye health professional</t>
  </si>
  <si>
    <t>3a. 0-9 years olddentified with eye disease/s and referred to an eye health professional</t>
  </si>
  <si>
    <t>E6. Geriatric Screening</t>
  </si>
  <si>
    <t>3b. 10-19 years old identified with eye disease/s and referred to an eye health professional</t>
  </si>
  <si>
    <t>3c. 20-59 years old identified with eye disease/s and referred to an eye health professional</t>
  </si>
  <si>
    <t>3. Senior Citizens identified with eye disease/s and referred to an eye health professional</t>
  </si>
  <si>
    <t>Age Groups (in years)</t>
  </si>
  <si>
    <t>0-9</t>
  </si>
  <si>
    <t>20-59</t>
  </si>
  <si>
    <t>60 and above</t>
  </si>
  <si>
    <t>E7. Mental Health</t>
  </si>
  <si>
    <t>1. Individuals with mental health concern screened using the Mental Health Gap Action Programme (mhGAP)</t>
  </si>
  <si>
    <t>E8. Cervical Cancer Prevention and Control Services</t>
  </si>
  <si>
    <t>E9. Breast Cancer Prevention and Control Services</t>
  </si>
  <si>
    <t>1. Women aged 30-65 years old screened or assessed for cervical cancer</t>
  </si>
  <si>
    <t>1. Number of 30-69 years old women seen</t>
  </si>
  <si>
    <t>1a. VIA</t>
  </si>
  <si>
    <t>2a. PapSmear</t>
  </si>
  <si>
    <t>3a. HPV DNA</t>
  </si>
  <si>
    <t>3a. Clinical Breast Examination</t>
  </si>
  <si>
    <t>4a. Assessed Only</t>
  </si>
  <si>
    <t>3b. Mammogram</t>
  </si>
  <si>
    <t>2. Women aged 30-65 years old found suspicious for cervical cancer</t>
  </si>
  <si>
    <t>3. Women aged 30-65 years old found suspicious for cervical cancer and linked to care</t>
  </si>
  <si>
    <t>4a. Clinical Breast Examination</t>
  </si>
  <si>
    <t>3a. Treated</t>
  </si>
  <si>
    <t>4b. Mammogram</t>
  </si>
  <si>
    <t>3b. Referred</t>
  </si>
  <si>
    <t>4. Women aged 30-65 years old found positive for precancerous lesions</t>
  </si>
  <si>
    <t>5a. Clinical Breast Examination</t>
  </si>
  <si>
    <t>5. Women aged 30-65 years old found positive for precancerous lesions and linked to care</t>
  </si>
  <si>
    <t>5b. Mammogram</t>
  </si>
  <si>
    <t>5a. Treated</t>
  </si>
  <si>
    <t>6. Asymptomatic women aged 50-69 years old screened for breast cancer</t>
  </si>
  <si>
    <t>5b. Referred</t>
  </si>
  <si>
    <t>6a. Clinical Breast Examination</t>
  </si>
  <si>
    <t>6b. Mammogram</t>
  </si>
  <si>
    <t>7. Asymptomatic women aged 50-69 years old screened for breast cancer and found with remarkable or significant results</t>
  </si>
  <si>
    <t>7a. Clinical Breast Examination</t>
  </si>
  <si>
    <t>7b. Mammogram</t>
  </si>
  <si>
    <t>8. Asymptomatic women aged 50-69 years old screened for breast cancer and found with remarkable or significant results and linked to care</t>
  </si>
  <si>
    <t>SECTION F. ENVIRONMENTAL HEALTH AND SANITATION</t>
  </si>
  <si>
    <t>G1. Water</t>
  </si>
  <si>
    <t>G1. Sanitation</t>
  </si>
  <si>
    <t>1. Households (HHs) with access to improved water supply - Total</t>
  </si>
  <si>
    <t>1. HH with basic sanitation facility - Total</t>
  </si>
  <si>
    <t xml:space="preserve">1a. HH with Level I </t>
  </si>
  <si>
    <t>1a. HH with pour/flush toilet connected to a septic tank</t>
  </si>
  <si>
    <t>1b. HH with Level II</t>
  </si>
  <si>
    <t>1b. HHs with pour/flush toilet connected to community sewer/sewerage system or any other approved treatment system</t>
  </si>
  <si>
    <t>1c. HH with Level III</t>
  </si>
  <si>
    <t>1c. HH with Ventilated Improved Pit (VIP) Latrine</t>
  </si>
  <si>
    <t>2. HH using safely managed drinking water service</t>
  </si>
  <si>
    <t>2. HH using safely managed sanitation service</t>
  </si>
  <si>
    <t>SECTION G. INFECTIOUS DISEASE PREVENTION AND CONTROL SERVICES</t>
  </si>
  <si>
    <t>10. Confirmed Schistosomiasis Cases Treated by treatment</t>
  </si>
  <si>
    <t>4. Clinical/Suspected Schistosomiasis Cases Treated by treatment type</t>
  </si>
  <si>
    <t xml:space="preserve">  4a. 1st treatment</t>
  </si>
  <si>
    <t xml:space="preserve">  4b. Retreatement</t>
  </si>
  <si>
    <t>1a. 1-4 years old</t>
  </si>
  <si>
    <t>6a. Resident</t>
  </si>
  <si>
    <t>1b. 5-14 years old</t>
  </si>
  <si>
    <t>6b. Non-Resident</t>
  </si>
  <si>
    <t>1c. 15-19 years old</t>
  </si>
  <si>
    <t>1d. 20-59 years old</t>
  </si>
  <si>
    <t>7a. 1-4 years old</t>
  </si>
  <si>
    <t>1e. 60 years old and above</t>
  </si>
  <si>
    <t>7b. 5-14 years old</t>
  </si>
  <si>
    <t>7c. 15-19 years old</t>
  </si>
  <si>
    <t>2a. Resident</t>
  </si>
  <si>
    <t>7d. 20-59 years old</t>
  </si>
  <si>
    <t>2b. Non-Resident</t>
  </si>
  <si>
    <t>7e. 60 years old and above</t>
  </si>
  <si>
    <t>3a. 1-4 years old</t>
  </si>
  <si>
    <t>3b. 5-14 years old</t>
  </si>
  <si>
    <t>3c. 15-19 years old</t>
  </si>
  <si>
    <t>3d. 20-59 years old</t>
  </si>
  <si>
    <t>3e. 60 years old and above</t>
  </si>
  <si>
    <t>4a. Resident</t>
  </si>
  <si>
    <t>4b. Non-Resident</t>
  </si>
  <si>
    <t>5a. 1-4 years old</t>
  </si>
  <si>
    <t>5b. 5-14 years old</t>
  </si>
  <si>
    <t>5c. 15-19 years old</t>
  </si>
  <si>
    <t>12. 15-19 yrs old who were dewormed during January/July MDA</t>
  </si>
  <si>
    <t>5d. 20-59 years old</t>
  </si>
  <si>
    <t xml:space="preserve">  12a. No. of adolescents (15-19 yrs old) who were dewormed during January MDA</t>
  </si>
  <si>
    <t>5e. 60 years old and above</t>
  </si>
  <si>
    <t xml:space="preserve">   12b. No. of adolescents (15-19 yrs old) who were dewormed during July MDA</t>
  </si>
  <si>
    <t>1. Pregnant women screened for syphilis - Total</t>
  </si>
  <si>
    <t>5. Pregnant women screened reactive for HIV - Total</t>
  </si>
  <si>
    <t>2. Pregnant women screened reactive for syphilis - Total</t>
  </si>
  <si>
    <t>6. Pregnant women screened for Hepatitis B - Total</t>
  </si>
  <si>
    <t>3. Pregnant women treated for syphilis - Total</t>
  </si>
  <si>
    <t>7. Pregnant women screened reactive for Hepatitis B - Total</t>
  </si>
  <si>
    <t>4. Pregnant women screened for HIV - Total</t>
  </si>
  <si>
    <t>SECTION C. VITAL STATISTICS</t>
  </si>
  <si>
    <t xml:space="preserve">    a. Direct</t>
  </si>
  <si>
    <t xml:space="preserve">         a1. Resident</t>
  </si>
  <si>
    <t xml:space="preserve">    2a. &lt;10 years old</t>
  </si>
  <si>
    <t xml:space="preserve">         a2. Non-Resident</t>
  </si>
  <si>
    <t xml:space="preserve">    2b. 10-14 years old</t>
  </si>
  <si>
    <t xml:space="preserve">    b. Indirect</t>
  </si>
  <si>
    <t xml:space="preserve">    2c. 15-19 years old</t>
  </si>
  <si>
    <t xml:space="preserve">         b1. Resident</t>
  </si>
  <si>
    <t xml:space="preserve">         b2. Non-Resident</t>
  </si>
  <si>
    <t xml:space="preserve">    3a. 10-14 years old</t>
  </si>
  <si>
    <t xml:space="preserve">    3b. 15-19 years old</t>
  </si>
  <si>
    <t>Q1
RHU</t>
  </si>
  <si>
    <t>FHSIS REPORT for the ______________Quarter of Year __________________</t>
  </si>
  <si>
    <t>Name of Municipality/City __________________________________________</t>
  </si>
  <si>
    <t>Name of Province _________________________________________________</t>
  </si>
  <si>
    <t>Projected Population of the Year ____________________________________</t>
  </si>
  <si>
    <t>Demand Satisfied</t>
  </si>
  <si>
    <t>Modern FP Methods</t>
  </si>
  <si>
    <r>
      <rPr>
        <b/>
        <sz val="10"/>
        <color rgb="FFFFFFFF"/>
        <rFont val="Arial"/>
      </rPr>
      <t xml:space="preserve">Current Users
</t>
    </r>
    <r>
      <rPr>
        <sz val="10"/>
        <color rgb="FFFFFFFF"/>
        <rFont val="Arial"/>
      </rPr>
      <t>(Beginning of the Month)</t>
    </r>
  </si>
  <si>
    <r>
      <rPr>
        <b/>
        <sz val="10"/>
        <color rgb="FFFFFFFF"/>
        <rFont val="Arial"/>
      </rPr>
      <t xml:space="preserve">Drop-outs
</t>
    </r>
    <r>
      <rPr>
        <sz val="10"/>
        <color rgb="FFFFFFFF"/>
        <rFont val="Arial"/>
      </rPr>
      <t>(Present Month)</t>
    </r>
  </si>
  <si>
    <r>
      <rPr>
        <b/>
        <sz val="10"/>
        <color rgb="FFFFFFFF"/>
        <rFont val="Arial"/>
      </rPr>
      <t xml:space="preserve">Current User
</t>
    </r>
    <r>
      <rPr>
        <sz val="10"/>
        <color rgb="FFFFFFFF"/>
        <rFont val="Arial"/>
      </rPr>
      <t>(End of the Month)</t>
    </r>
  </si>
  <si>
    <r>
      <rPr>
        <b/>
        <sz val="10"/>
        <color rgb="FFFFFFFF"/>
        <rFont val="Arial"/>
      </rPr>
      <t xml:space="preserve">New Acceptors
</t>
    </r>
    <r>
      <rPr>
        <sz val="10"/>
        <color rgb="FFFFFFFF"/>
        <rFont val="Arial"/>
      </rPr>
      <t>(Present Month)</t>
    </r>
  </si>
  <si>
    <r>
      <rPr>
        <b/>
        <i/>
        <sz val="10"/>
        <color theme="1"/>
        <rFont val="Arial"/>
      </rPr>
      <t xml:space="preserve">1. </t>
    </r>
    <r>
      <rPr>
        <b/>
        <i/>
        <u/>
        <sz val="10"/>
        <color theme="1"/>
        <rFont val="Arial"/>
      </rPr>
      <t>8ANC</t>
    </r>
  </si>
  <si>
    <r>
      <rPr>
        <b/>
        <i/>
        <sz val="10"/>
        <color theme="1"/>
        <rFont val="Arial"/>
      </rPr>
      <t xml:space="preserve">4. </t>
    </r>
    <r>
      <rPr>
        <b/>
        <i/>
        <u/>
        <sz val="10"/>
        <color theme="1"/>
        <rFont val="Arial"/>
      </rPr>
      <t>Prenatal Supplementation</t>
    </r>
  </si>
  <si>
    <r>
      <rPr>
        <i/>
        <sz val="10"/>
        <color theme="1"/>
        <rFont val="Arial"/>
      </rPr>
      <t xml:space="preserve">      4a. Number of pregnant women who completed the dose
            of</t>
    </r>
    <r>
      <rPr>
        <b/>
        <i/>
        <sz val="10"/>
        <color theme="1"/>
        <rFont val="Arial"/>
      </rPr>
      <t xml:space="preserve"> Iron with Folic Acid supplementation</t>
    </r>
  </si>
  <si>
    <r>
      <rPr>
        <i/>
        <sz val="10"/>
        <color theme="1"/>
        <rFont val="Arial"/>
      </rPr>
      <t xml:space="preserve">        a1. No. of Women who delivered and Provided 1st to 8th
              ANC on schedule </t>
    </r>
    <r>
      <rPr>
        <b/>
        <i/>
        <sz val="10"/>
        <color theme="1"/>
        <rFont val="Arial"/>
      </rPr>
      <t>(Resident)</t>
    </r>
  </si>
  <si>
    <r>
      <rPr>
        <i/>
        <sz val="10"/>
        <color theme="1"/>
        <rFont val="Arial"/>
      </rPr>
      <t xml:space="preserve">      4b. No. of pregnant women who completed the dose
</t>
    </r>
    <r>
      <rPr>
        <b/>
        <i/>
        <sz val="10"/>
        <color theme="1"/>
        <rFont val="Arial"/>
      </rPr>
      <t xml:space="preserve">            Multiple Micronutrient Supplementation</t>
    </r>
  </si>
  <si>
    <r>
      <rPr>
        <i/>
        <sz val="10"/>
        <color theme="1"/>
        <rFont val="Arial"/>
      </rPr>
      <t xml:space="preserve">        a2. No. of Women who delivered and completed at least
              8ANC</t>
    </r>
    <r>
      <rPr>
        <b/>
        <i/>
        <sz val="10"/>
        <color theme="1"/>
        <rFont val="Arial"/>
      </rPr>
      <t xml:space="preserve"> TRANS-IN</t>
    </r>
    <r>
      <rPr>
        <i/>
        <sz val="10"/>
        <color theme="1"/>
        <rFont val="Arial"/>
      </rPr>
      <t xml:space="preserve"> from other LGUs</t>
    </r>
  </si>
  <si>
    <r>
      <rPr>
        <i/>
        <sz val="10"/>
        <color theme="1"/>
        <rFont val="Arial"/>
      </rPr>
      <t xml:space="preserve">      4c. No. of pregnant women who completed the dose of
</t>
    </r>
    <r>
      <rPr>
        <b/>
        <i/>
        <sz val="10"/>
        <color theme="1"/>
        <rFont val="Arial"/>
      </rPr>
      <t xml:space="preserve">           Calcium carbonate</t>
    </r>
  </si>
  <si>
    <r>
      <rPr>
        <b/>
        <i/>
        <sz val="10"/>
        <color theme="1"/>
        <rFont val="Arial"/>
      </rPr>
      <t xml:space="preserve">5. </t>
    </r>
    <r>
      <rPr>
        <b/>
        <i/>
        <u/>
        <sz val="10"/>
        <color theme="1"/>
        <rFont val="Arial"/>
      </rPr>
      <t>Anemia Screening</t>
    </r>
  </si>
  <si>
    <r>
      <rPr>
        <i/>
        <sz val="10"/>
        <color theme="1"/>
        <rFont val="Arial"/>
      </rPr>
      <t xml:space="preserve">        b1. No. of Women who delivered and who were tracked
              during pregnancy </t>
    </r>
    <r>
      <rPr>
        <b/>
        <i/>
        <sz val="10"/>
        <color theme="1"/>
        <rFont val="Arial"/>
      </rPr>
      <t>(Resident)</t>
    </r>
  </si>
  <si>
    <r>
      <rPr>
        <i/>
        <sz val="10"/>
        <color theme="1"/>
        <rFont val="Arial"/>
      </rPr>
      <t xml:space="preserve">      9a. No of pregnant women</t>
    </r>
    <r>
      <rPr>
        <b/>
        <i/>
        <sz val="10"/>
        <color theme="1"/>
        <rFont val="Arial"/>
      </rPr>
      <t xml:space="preserve"> screened</t>
    </r>
    <r>
      <rPr>
        <i/>
        <sz val="10"/>
        <color theme="1"/>
        <rFont val="Arial"/>
      </rPr>
      <t xml:space="preserve"> for Anemia</t>
    </r>
  </si>
  <si>
    <r>
      <rPr>
        <i/>
        <sz val="10"/>
        <color theme="1"/>
        <rFont val="Arial"/>
      </rPr>
      <t xml:space="preserve">        b2. No. of </t>
    </r>
    <r>
      <rPr>
        <b/>
        <i/>
        <sz val="10"/>
        <color theme="1"/>
        <rFont val="Arial"/>
      </rPr>
      <t>TRANS-IN</t>
    </r>
    <r>
      <rPr>
        <i/>
        <sz val="10"/>
        <color theme="1"/>
        <rFont val="Arial"/>
      </rPr>
      <t xml:space="preserve"> from other LGUs</t>
    </r>
  </si>
  <si>
    <r>
      <rPr>
        <i/>
        <sz val="10"/>
        <color theme="1"/>
        <rFont val="Arial"/>
      </rPr>
      <t xml:space="preserve">      9b. No of pregnant women </t>
    </r>
    <r>
      <rPr>
        <b/>
        <i/>
        <sz val="10"/>
        <color theme="1"/>
        <rFont val="Arial"/>
      </rPr>
      <t>diagnosed</t>
    </r>
    <r>
      <rPr>
        <i/>
        <sz val="10"/>
        <color theme="1"/>
        <rFont val="Arial"/>
      </rPr>
      <t xml:space="preserve"> with Anemia</t>
    </r>
  </si>
  <si>
    <r>
      <rPr>
        <i/>
        <sz val="10"/>
        <color theme="1"/>
        <rFont val="Arial"/>
      </rPr>
      <t xml:space="preserve">        b3. No. of </t>
    </r>
    <r>
      <rPr>
        <b/>
        <i/>
        <sz val="10"/>
        <color theme="1"/>
        <rFont val="Arial"/>
      </rPr>
      <t>TRANS-OUT (with MOV)</t>
    </r>
    <r>
      <rPr>
        <i/>
        <sz val="10"/>
        <color theme="1"/>
        <rFont val="Arial"/>
      </rPr>
      <t xml:space="preserve"> before completing
             8ANC</t>
    </r>
  </si>
  <si>
    <r>
      <rPr>
        <b/>
        <i/>
        <sz val="10"/>
        <color theme="1"/>
        <rFont val="Arial"/>
      </rPr>
      <t xml:space="preserve">6. </t>
    </r>
    <r>
      <rPr>
        <b/>
        <i/>
        <u/>
        <sz val="10"/>
        <color theme="1"/>
        <rFont val="Arial"/>
      </rPr>
      <t>Gestational Diabetes Screening</t>
    </r>
  </si>
  <si>
    <r>
      <rPr>
        <b/>
        <i/>
        <sz val="10"/>
        <color theme="1"/>
        <rFont val="Arial"/>
      </rPr>
      <t xml:space="preserve">2. </t>
    </r>
    <r>
      <rPr>
        <b/>
        <i/>
        <u/>
        <sz val="10"/>
        <color theme="1"/>
        <rFont val="Arial"/>
      </rPr>
      <t>No. of pregnant women assessed for nutritional status during the first trimester</t>
    </r>
  </si>
  <si>
    <r>
      <rPr>
        <i/>
        <sz val="10"/>
        <color theme="1"/>
        <rFont val="Arial"/>
      </rPr>
      <t xml:space="preserve">      6a. No of pregnant women </t>
    </r>
    <r>
      <rPr>
        <b/>
        <i/>
        <sz val="10"/>
        <color theme="1"/>
        <rFont val="Arial"/>
      </rPr>
      <t>screened</t>
    </r>
    <r>
      <rPr>
        <i/>
        <sz val="10"/>
        <color theme="1"/>
        <rFont val="Arial"/>
      </rPr>
      <t xml:space="preserve"> for Gestational 
            Diabetes Melitus</t>
    </r>
  </si>
  <si>
    <r>
      <rPr>
        <i/>
        <sz val="10"/>
        <color theme="1"/>
        <rFont val="Arial"/>
      </rPr>
      <t xml:space="preserve">      6b. No of pregnant women </t>
    </r>
    <r>
      <rPr>
        <b/>
        <i/>
        <sz val="10"/>
        <color theme="1"/>
        <rFont val="Arial"/>
      </rPr>
      <t>tested positive</t>
    </r>
    <r>
      <rPr>
        <i/>
        <sz val="10"/>
        <color theme="1"/>
        <rFont val="Arial"/>
      </rPr>
      <t xml:space="preserve"> for Gestational 
            Diabetes Melitus</t>
    </r>
  </si>
  <si>
    <r>
      <rPr>
        <b/>
        <i/>
        <sz val="10"/>
        <color theme="1"/>
        <rFont val="Arial"/>
      </rPr>
      <t xml:space="preserve">7. </t>
    </r>
    <r>
      <rPr>
        <b/>
        <i/>
        <u/>
        <sz val="10"/>
        <color theme="1"/>
        <rFont val="Arial"/>
      </rPr>
      <t>Deworming</t>
    </r>
  </si>
  <si>
    <r>
      <rPr>
        <b/>
        <i/>
        <sz val="10"/>
        <color theme="1"/>
        <rFont val="Arial"/>
      </rPr>
      <t xml:space="preserve">3. </t>
    </r>
    <r>
      <rPr>
        <b/>
        <i/>
        <u/>
        <sz val="10"/>
        <color theme="1"/>
        <rFont val="Arial"/>
      </rPr>
      <t>Tetanus diphtheria (Td) Containing Vaccination Status</t>
    </r>
  </si>
  <si>
    <r>
      <rPr>
        <b/>
        <i/>
        <sz val="10"/>
        <color theme="1"/>
        <rFont val="Arial"/>
      </rPr>
      <t xml:space="preserve">8. </t>
    </r>
    <r>
      <rPr>
        <b/>
        <i/>
        <u/>
        <sz val="10"/>
        <color theme="1"/>
        <rFont val="Arial"/>
      </rPr>
      <t>BP measurement</t>
    </r>
  </si>
  <si>
    <r>
      <rPr>
        <b/>
        <i/>
        <sz val="10"/>
        <color theme="1"/>
        <rFont val="Arial"/>
      </rPr>
      <t xml:space="preserve">1. </t>
    </r>
    <r>
      <rPr>
        <b/>
        <i/>
        <u/>
        <sz val="10"/>
        <color theme="1"/>
        <rFont val="Arial"/>
      </rPr>
      <t>Total Deliveries</t>
    </r>
  </si>
  <si>
    <r>
      <rPr>
        <b/>
        <i/>
        <sz val="10"/>
        <color theme="1"/>
        <rFont val="Arial"/>
      </rPr>
      <t xml:space="preserve">5. </t>
    </r>
    <r>
      <rPr>
        <b/>
        <i/>
        <u/>
        <sz val="10"/>
        <color theme="1"/>
        <rFont val="Arial"/>
      </rPr>
      <t>Delivery by Outcome</t>
    </r>
    <r>
      <rPr>
        <b/>
        <i/>
        <sz val="10"/>
        <color theme="1"/>
        <rFont val="Arial"/>
      </rPr>
      <t xml:space="preserve"> =(5a+5b+5c)</t>
    </r>
  </si>
  <si>
    <r>
      <rPr>
        <b/>
        <i/>
        <sz val="10"/>
        <color theme="1"/>
        <rFont val="Arial"/>
      </rPr>
      <t xml:space="preserve">2. </t>
    </r>
    <r>
      <rPr>
        <b/>
        <i/>
        <u/>
        <sz val="10"/>
        <color theme="1"/>
        <rFont val="Arial"/>
      </rPr>
      <t xml:space="preserve">No. of deliveries attended by Skilled Health Professionals
</t>
    </r>
    <r>
      <rPr>
        <b/>
        <i/>
        <sz val="10"/>
        <color theme="1"/>
        <rFont val="Arial"/>
      </rPr>
      <t xml:space="preserve">   </t>
    </r>
    <r>
      <rPr>
        <b/>
        <i/>
        <u/>
        <sz val="10"/>
        <color theme="1"/>
        <rFont val="Arial"/>
      </rPr>
      <t>(SHP)</t>
    </r>
    <r>
      <rPr>
        <b/>
        <i/>
        <sz val="10"/>
        <color theme="1"/>
        <rFont val="Arial"/>
      </rPr>
      <t xml:space="preserve"> =(2a+2b+2c)</t>
    </r>
  </si>
  <si>
    <r>
      <rPr>
        <i/>
        <sz val="10"/>
        <color theme="1"/>
        <rFont val="Arial"/>
      </rPr>
      <t xml:space="preserve">      5a. No. of </t>
    </r>
    <r>
      <rPr>
        <b/>
        <i/>
        <sz val="10"/>
        <color theme="1"/>
        <rFont val="Arial"/>
      </rPr>
      <t xml:space="preserve">Full-Term </t>
    </r>
    <r>
      <rPr>
        <i/>
        <sz val="10"/>
        <color theme="1"/>
        <rFont val="Arial"/>
      </rPr>
      <t>deliveries</t>
    </r>
  </si>
  <si>
    <r>
      <rPr>
        <i/>
        <sz val="10"/>
        <color theme="1"/>
        <rFont val="Arial"/>
      </rPr>
      <t xml:space="preserve">      5b. No. of </t>
    </r>
    <r>
      <rPr>
        <b/>
        <i/>
        <sz val="10"/>
        <color theme="1"/>
        <rFont val="Arial"/>
      </rPr>
      <t>Pre-Term d</t>
    </r>
    <r>
      <rPr>
        <i/>
        <sz val="10"/>
        <color theme="1"/>
        <rFont val="Arial"/>
      </rPr>
      <t>eliveries</t>
    </r>
  </si>
  <si>
    <r>
      <rPr>
        <i/>
        <sz val="10"/>
        <color theme="1"/>
        <rFont val="Arial"/>
      </rPr>
      <t xml:space="preserve">      5c. No. of </t>
    </r>
    <r>
      <rPr>
        <b/>
        <i/>
        <sz val="10"/>
        <color theme="1"/>
        <rFont val="Arial"/>
      </rPr>
      <t>Fetal deaths</t>
    </r>
  </si>
  <si>
    <r>
      <rPr>
        <i/>
        <sz val="10"/>
        <color theme="1"/>
        <rFont val="Arial"/>
      </rPr>
      <t xml:space="preserve">      5d. No. of  </t>
    </r>
    <r>
      <rPr>
        <b/>
        <i/>
        <sz val="10"/>
        <color theme="1"/>
        <rFont val="Arial"/>
      </rPr>
      <t>abortion/miscarriage</t>
    </r>
    <r>
      <rPr>
        <i/>
        <sz val="10"/>
        <color theme="1"/>
        <rFont val="Arial"/>
      </rPr>
      <t xml:space="preserve"> (counts only)</t>
    </r>
  </si>
  <si>
    <r>
      <rPr>
        <b/>
        <i/>
        <sz val="10"/>
        <color theme="1"/>
        <rFont val="Arial"/>
      </rPr>
      <t xml:space="preserve">3. </t>
    </r>
    <r>
      <rPr>
        <b/>
        <i/>
        <u/>
        <sz val="10"/>
        <color theme="1"/>
        <rFont val="Arial"/>
      </rPr>
      <t>No. of Facility Based Deliveries (FBD)</t>
    </r>
    <r>
      <rPr>
        <b/>
        <i/>
        <sz val="10"/>
        <color theme="1"/>
        <rFont val="Arial"/>
      </rPr>
      <t xml:space="preserve"> =(3a+3b)</t>
    </r>
  </si>
  <si>
    <r>
      <rPr>
        <i/>
        <sz val="10"/>
        <color theme="1"/>
        <rFont val="Arial"/>
      </rPr>
      <t xml:space="preserve">     3a. </t>
    </r>
    <r>
      <rPr>
        <b/>
        <i/>
        <sz val="10"/>
        <color theme="1"/>
        <rFont val="Arial"/>
      </rPr>
      <t xml:space="preserve">Public </t>
    </r>
    <r>
      <rPr>
        <i/>
        <sz val="10"/>
        <color theme="1"/>
        <rFont val="Arial"/>
      </rPr>
      <t>facility</t>
    </r>
  </si>
  <si>
    <r>
      <rPr>
        <b/>
        <i/>
        <sz val="10"/>
        <color theme="1"/>
        <rFont val="Arial"/>
      </rPr>
      <t xml:space="preserve">6. </t>
    </r>
    <r>
      <rPr>
        <b/>
        <i/>
        <u/>
        <sz val="10"/>
        <color theme="1"/>
        <rFont val="Arial"/>
      </rPr>
      <t>No. of Livebirths by birth weight</t>
    </r>
    <r>
      <rPr>
        <b/>
        <i/>
        <sz val="10"/>
        <color theme="1"/>
        <rFont val="Arial"/>
      </rPr>
      <t xml:space="preserve"> =(6a+6b+6c)</t>
    </r>
  </si>
  <si>
    <r>
      <rPr>
        <i/>
        <sz val="10"/>
        <color theme="1"/>
        <rFont val="Arial"/>
      </rPr>
      <t xml:space="preserve">     3b. </t>
    </r>
    <r>
      <rPr>
        <b/>
        <i/>
        <sz val="10"/>
        <color theme="1"/>
        <rFont val="Arial"/>
      </rPr>
      <t>Private</t>
    </r>
    <r>
      <rPr>
        <i/>
        <sz val="10"/>
        <color theme="1"/>
        <rFont val="Arial"/>
      </rPr>
      <t xml:space="preserve"> facility</t>
    </r>
  </si>
  <si>
    <r>
      <rPr>
        <i/>
        <sz val="10"/>
        <color theme="1"/>
        <rFont val="Arial"/>
      </rPr>
      <t xml:space="preserve">      6b. </t>
    </r>
    <r>
      <rPr>
        <b/>
        <i/>
        <sz val="10"/>
        <color theme="1"/>
        <rFont val="Arial"/>
      </rPr>
      <t>Normal birth</t>
    </r>
    <r>
      <rPr>
        <i/>
        <sz val="10"/>
        <color theme="1"/>
        <rFont val="Arial"/>
      </rPr>
      <t xml:space="preserve"> weight</t>
    </r>
  </si>
  <si>
    <r>
      <rPr>
        <i/>
        <sz val="10"/>
        <color theme="1"/>
        <rFont val="Arial"/>
      </rPr>
      <t xml:space="preserve">      6c. </t>
    </r>
    <r>
      <rPr>
        <b/>
        <i/>
        <sz val="10"/>
        <color theme="1"/>
        <rFont val="Arial"/>
      </rPr>
      <t>Low birth</t>
    </r>
    <r>
      <rPr>
        <i/>
        <sz val="10"/>
        <color theme="1"/>
        <rFont val="Arial"/>
      </rPr>
      <t xml:space="preserve"> weight</t>
    </r>
  </si>
  <si>
    <r>
      <rPr>
        <i/>
        <sz val="10"/>
        <color theme="1"/>
        <rFont val="Arial"/>
      </rPr>
      <t xml:space="preserve">      4a. No. of  </t>
    </r>
    <r>
      <rPr>
        <b/>
        <i/>
        <sz val="10"/>
        <color theme="1"/>
        <rFont val="Arial"/>
      </rPr>
      <t>Vaginal deliveires</t>
    </r>
  </si>
  <si>
    <r>
      <rPr>
        <i/>
        <sz val="10"/>
        <color theme="1"/>
        <rFont val="Arial"/>
      </rPr>
      <t xml:space="preserve">      6d. </t>
    </r>
    <r>
      <rPr>
        <b/>
        <i/>
        <sz val="10"/>
        <color theme="1"/>
        <rFont val="Arial"/>
      </rPr>
      <t>Unknown birth</t>
    </r>
    <r>
      <rPr>
        <i/>
        <sz val="10"/>
        <color theme="1"/>
        <rFont val="Arial"/>
      </rPr>
      <t xml:space="preserve"> weight</t>
    </r>
  </si>
  <si>
    <r>
      <rPr>
        <i/>
        <sz val="10"/>
        <color theme="1"/>
        <rFont val="Arial"/>
      </rPr>
      <t xml:space="preserve">      4b.  No. of </t>
    </r>
    <r>
      <rPr>
        <b/>
        <i/>
        <sz val="10"/>
        <color theme="1"/>
        <rFont val="Arial"/>
      </rPr>
      <t>Cesarean Section</t>
    </r>
  </si>
  <si>
    <r>
      <rPr>
        <i/>
        <sz val="10"/>
        <color theme="1"/>
        <rFont val="Arial"/>
      </rPr>
      <t xml:space="preserve">      4c.  No. of </t>
    </r>
    <r>
      <rPr>
        <b/>
        <i/>
        <sz val="10"/>
        <color theme="1"/>
        <rFont val="Arial"/>
      </rPr>
      <t>Combined Vaginal-Cesarean deliveries</t>
    </r>
  </si>
  <si>
    <r>
      <rPr>
        <b/>
        <i/>
        <sz val="10"/>
        <color theme="1"/>
        <rFont val="Arial"/>
      </rPr>
      <t xml:space="preserve">1. </t>
    </r>
    <r>
      <rPr>
        <b/>
        <i/>
        <u/>
        <sz val="10"/>
        <color theme="1"/>
        <rFont val="Arial"/>
      </rPr>
      <t>4PNC</t>
    </r>
  </si>
  <si>
    <r>
      <rPr>
        <i/>
        <sz val="10"/>
        <color theme="1"/>
        <rFont val="Arial"/>
      </rPr>
      <t xml:space="preserve">      2a. Number of postpartum women who completed the 
            dose of </t>
    </r>
    <r>
      <rPr>
        <b/>
        <i/>
        <sz val="10"/>
        <color theme="1"/>
        <rFont val="Arial"/>
      </rPr>
      <t>Iron with Folic Acid</t>
    </r>
    <r>
      <rPr>
        <i/>
        <sz val="10"/>
        <color theme="1"/>
        <rFont val="Arial"/>
      </rPr>
      <t xml:space="preserve"> S</t>
    </r>
    <r>
      <rPr>
        <b/>
        <i/>
        <sz val="10"/>
        <color theme="1"/>
        <rFont val="Arial"/>
      </rPr>
      <t>upplementation</t>
    </r>
  </si>
  <si>
    <r>
      <rPr>
        <i/>
        <sz val="10"/>
        <color theme="1"/>
        <rFont val="Arial"/>
      </rPr>
      <t xml:space="preserve">        a1. No. of women who delivered and provided 1st to 4th 
              PNC on schedule </t>
    </r>
    <r>
      <rPr>
        <b/>
        <i/>
        <sz val="10"/>
        <color theme="1"/>
        <rFont val="Arial"/>
      </rPr>
      <t>(Resident)</t>
    </r>
  </si>
  <si>
    <r>
      <rPr>
        <i/>
        <sz val="10"/>
        <color theme="1"/>
        <rFont val="Arial"/>
      </rPr>
      <t xml:space="preserve">      2b. Number of postpartum women who completed the 
            dose of </t>
    </r>
    <r>
      <rPr>
        <b/>
        <i/>
        <sz val="10"/>
        <color theme="1"/>
        <rFont val="Arial"/>
      </rPr>
      <t>Vitamin A supplementation</t>
    </r>
  </si>
  <si>
    <r>
      <rPr>
        <i/>
        <sz val="10"/>
        <color theme="1"/>
        <rFont val="Arial"/>
      </rPr>
      <t xml:space="preserve">        a2. </t>
    </r>
    <r>
      <rPr>
        <i/>
        <sz val="10"/>
        <color theme="1"/>
        <rFont val="Arial"/>
      </rPr>
      <t xml:space="preserve">No. of women delivered and completed at least 4PNC 
              </t>
    </r>
    <r>
      <rPr>
        <b/>
        <i/>
        <sz val="10"/>
        <color theme="1"/>
        <rFont val="Arial"/>
      </rPr>
      <t>TRANS IN</t>
    </r>
    <r>
      <rPr>
        <i/>
        <sz val="10"/>
        <color theme="1"/>
        <rFont val="Arial"/>
      </rPr>
      <t xml:space="preserve"> from other LGUs</t>
    </r>
  </si>
  <si>
    <r>
      <rPr>
        <b/>
        <i/>
        <sz val="10"/>
        <color theme="1"/>
        <rFont val="Arial"/>
      </rPr>
      <t xml:space="preserve">2. </t>
    </r>
    <r>
      <rPr>
        <b/>
        <i/>
        <u/>
        <sz val="10"/>
        <color theme="1"/>
        <rFont val="Arial"/>
      </rPr>
      <t>BP measurement</t>
    </r>
  </si>
  <si>
    <r>
      <rPr>
        <i/>
        <sz val="10"/>
        <color theme="1"/>
        <rFont val="Arial"/>
      </rPr>
      <t xml:space="preserve">        b1. </t>
    </r>
    <r>
      <rPr>
        <i/>
        <sz val="10"/>
        <color theme="1"/>
        <rFont val="Arial"/>
      </rPr>
      <t xml:space="preserve">No. of women due for PNC </t>
    </r>
    <r>
      <rPr>
        <b/>
        <i/>
        <sz val="10"/>
        <color theme="1"/>
        <rFont val="Arial"/>
      </rPr>
      <t>(Resident)</t>
    </r>
  </si>
  <si>
    <t xml:space="preserve">      2b1. No. of postpartum women identified with high BP or danger
              signs</t>
  </si>
  <si>
    <r>
      <rPr>
        <i/>
        <sz val="10"/>
        <color theme="1"/>
        <rFont val="Arial"/>
      </rPr>
      <t xml:space="preserve">        b2. No. of </t>
    </r>
    <r>
      <rPr>
        <b/>
        <i/>
        <sz val="10"/>
        <color theme="1"/>
        <rFont val="Arial"/>
      </rPr>
      <t>TRANS-IN</t>
    </r>
    <r>
      <rPr>
        <i/>
        <sz val="10"/>
        <color theme="1"/>
        <rFont val="Arial"/>
      </rPr>
      <t xml:space="preserve"> from other LGUs due for PNC</t>
    </r>
  </si>
  <si>
    <r>
      <rPr>
        <i/>
        <sz val="10"/>
        <color theme="1"/>
        <rFont val="Arial"/>
      </rPr>
      <t xml:space="preserve">        b3. No. of </t>
    </r>
    <r>
      <rPr>
        <b/>
        <i/>
        <sz val="10"/>
        <color theme="1"/>
        <rFont val="Arial"/>
      </rPr>
      <t>TRANS-OUT (with MOV)</t>
    </r>
    <r>
      <rPr>
        <i/>
        <sz val="10"/>
        <color theme="1"/>
        <rFont val="Arial"/>
      </rPr>
      <t xml:space="preserve"> before completing
             4PNC</t>
    </r>
  </si>
  <si>
    <r>
      <rPr>
        <i/>
        <sz val="10"/>
        <color theme="1"/>
        <rFont val="Arial"/>
      </rPr>
      <t xml:space="preserve">6a. Identified </t>
    </r>
    <r>
      <rPr>
        <b/>
        <i/>
        <sz val="10"/>
        <color theme="1"/>
        <rFont val="Arial"/>
      </rPr>
      <t>MAM</t>
    </r>
  </si>
  <si>
    <r>
      <rPr>
        <i/>
        <sz val="10"/>
        <color theme="1"/>
        <rFont val="Arial"/>
      </rPr>
      <t xml:space="preserve">8. </t>
    </r>
    <r>
      <rPr>
        <b/>
        <i/>
        <sz val="10"/>
        <color theme="1"/>
        <rFont val="Arial"/>
      </rPr>
      <t xml:space="preserve">SAM </t>
    </r>
    <r>
      <rPr>
        <i/>
        <sz val="10"/>
        <color theme="1"/>
        <rFont val="Arial"/>
      </rPr>
      <t>without complication admitted to OTC</t>
    </r>
  </si>
  <si>
    <r>
      <rPr>
        <i/>
        <sz val="10"/>
        <color theme="1"/>
        <rFont val="Arial"/>
      </rPr>
      <t xml:space="preserve">6b. Identified </t>
    </r>
    <r>
      <rPr>
        <b/>
        <i/>
        <sz val="10"/>
        <color theme="1"/>
        <rFont val="Arial"/>
      </rPr>
      <t>SAM</t>
    </r>
  </si>
  <si>
    <r>
      <rPr>
        <i/>
        <sz val="10"/>
        <color theme="1"/>
        <rFont val="Arial"/>
      </rPr>
      <t xml:space="preserve">7. </t>
    </r>
    <r>
      <rPr>
        <b/>
        <i/>
        <sz val="10"/>
        <color theme="1"/>
        <rFont val="Arial"/>
      </rPr>
      <t>MAM</t>
    </r>
    <r>
      <rPr>
        <i/>
        <sz val="10"/>
        <color theme="1"/>
        <rFont val="Arial"/>
      </rPr>
      <t xml:space="preserve"> enrolled to SFP</t>
    </r>
  </si>
  <si>
    <r>
      <rPr>
        <i/>
        <sz val="10"/>
        <color theme="1"/>
        <rFont val="Arial"/>
      </rPr>
      <t xml:space="preserve">1. Infants 0-11 months old who had their </t>
    </r>
    <r>
      <rPr>
        <b/>
        <i/>
        <sz val="10"/>
        <color theme="1"/>
        <rFont val="Arial"/>
      </rPr>
      <t>first dental visit</t>
    </r>
  </si>
  <si>
    <r>
      <rPr>
        <i/>
        <sz val="10"/>
        <color theme="1"/>
        <rFont val="Arial"/>
      </rPr>
      <t xml:space="preserve">1a. Children 1-4 years old who completed 2 visits to a </t>
    </r>
    <r>
      <rPr>
        <b/>
        <i/>
        <sz val="10"/>
        <color theme="1"/>
        <rFont val="Arial"/>
      </rPr>
      <t xml:space="preserve">facility-based </t>
    </r>
    <r>
      <rPr>
        <i/>
        <sz val="10"/>
        <color theme="1"/>
        <rFont val="Arial"/>
      </rPr>
      <t>oral health care professional within a year</t>
    </r>
  </si>
  <si>
    <r>
      <rPr>
        <i/>
        <sz val="10"/>
        <color theme="1"/>
        <rFont val="Arial"/>
      </rPr>
      <t xml:space="preserve">1a. Children 1-4 years old who had their 1st visit to a </t>
    </r>
    <r>
      <rPr>
        <b/>
        <i/>
        <sz val="10"/>
        <color theme="1"/>
        <rFont val="Arial"/>
      </rPr>
      <t>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</si>
  <si>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1b. Children 1-4 years old who completed 2 visits to a </t>
    </r>
    <r>
      <rPr>
        <b/>
        <i/>
        <sz val="10"/>
        <color theme="1"/>
        <rFont val="Arial"/>
      </rPr>
      <t>non-facility-based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</si>
  <si>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1b. Children 1-4 years old who had their 1st visit to a </t>
    </r>
    <r>
      <rPr>
        <b/>
        <i/>
        <sz val="10"/>
        <color theme="1"/>
        <rFont val="Arial"/>
      </rPr>
      <t>non-facility-based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</si>
  <si>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2a. Children 5-9 years old who completed 2 visits to a </t>
    </r>
    <r>
      <rPr>
        <b/>
        <i/>
        <sz val="10"/>
        <color theme="1"/>
        <rFont val="Arial"/>
      </rPr>
      <t>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</si>
  <si>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2a. Children 5-9 years old who had their 1st visit to a </t>
    </r>
    <r>
      <rPr>
        <b/>
        <i/>
        <sz val="10"/>
        <color theme="1"/>
        <rFont val="Arial"/>
      </rPr>
      <t>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</si>
  <si>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2b. Children 5-9 years old who completed 2 visits to a </t>
    </r>
    <r>
      <rPr>
        <b/>
        <i/>
        <sz val="10"/>
        <color theme="1"/>
        <rFont val="Arial"/>
      </rPr>
      <t>non-facility-based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</si>
  <si>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2b. Children 5-9 years old who had their 1st visit to a </t>
    </r>
    <r>
      <rPr>
        <b/>
        <i/>
        <sz val="10"/>
        <color theme="1"/>
        <rFont val="Arial"/>
      </rPr>
      <t>non-facility-based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</si>
  <si>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3a. Adolescents 10-19 years old who completed 2 visits to a </t>
    </r>
    <r>
      <rPr>
        <b/>
        <i/>
        <sz val="10"/>
        <color theme="1"/>
        <rFont val="Arial"/>
      </rPr>
      <t>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</si>
  <si>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3a. Adolescents 10-19 years old who had their 1st visit to a </t>
    </r>
    <r>
      <rPr>
        <b/>
        <i/>
        <sz val="10"/>
        <color theme="1"/>
        <rFont val="Arial"/>
      </rPr>
      <t>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</si>
  <si>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3b. Adolescents 10-19 years old who completed 2 visits to a </t>
    </r>
    <r>
      <rPr>
        <b/>
        <i/>
        <sz val="10"/>
        <color theme="1"/>
        <rFont val="Arial"/>
      </rPr>
      <t>non-facility-based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</si>
  <si>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3b. Adolescents 10-19 years old who had their 1st visit to a </t>
    </r>
    <r>
      <rPr>
        <b/>
        <i/>
        <sz val="10"/>
        <color theme="1"/>
        <rFont val="Arial"/>
      </rPr>
      <t>non-facility-based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</si>
  <si>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4a. Adults 20-59 years old who completed 2 visits to a </t>
    </r>
    <r>
      <rPr>
        <b/>
        <i/>
        <sz val="10"/>
        <color theme="1"/>
        <rFont val="Arial"/>
      </rPr>
      <t>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</si>
  <si>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4a. Adults 20-59 years old who had their 1st visit to a </t>
    </r>
    <r>
      <rPr>
        <b/>
        <i/>
        <sz val="10"/>
        <color theme="1"/>
        <rFont val="Arial"/>
      </rPr>
      <t>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</si>
  <si>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4b. Adults 20-59 years old who completed 2 visits to a </t>
    </r>
    <r>
      <rPr>
        <b/>
        <i/>
        <sz val="10"/>
        <color theme="1"/>
        <rFont val="Arial"/>
      </rPr>
      <t>non-facility-based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</si>
  <si>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4b. Adults 20-59 years old who had their 1st visit to a </t>
    </r>
    <r>
      <rPr>
        <b/>
        <i/>
        <sz val="10"/>
        <color theme="1"/>
        <rFont val="Arial"/>
      </rPr>
      <t>non-facility-based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</si>
  <si>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5a. Senior Citizens 60 years old and above who completed 2 visits to a </t>
    </r>
    <r>
      <rPr>
        <b/>
        <i/>
        <sz val="10"/>
        <color theme="1"/>
        <rFont val="Arial"/>
      </rPr>
      <t>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</si>
  <si>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5a. Senior Citizens 60 years old and above who had their 1st visit to a </t>
    </r>
    <r>
      <rPr>
        <b/>
        <i/>
        <sz val="10"/>
        <color theme="1"/>
        <rFont val="Arial"/>
      </rPr>
      <t>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</si>
  <si>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5b. Senior Citizens 60 years old and above who completed 2 visits to a </t>
    </r>
    <r>
      <rPr>
        <b/>
        <i/>
        <sz val="10"/>
        <color theme="1"/>
        <rFont val="Arial"/>
      </rPr>
      <t>non-facility-based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</si>
  <si>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5b. Senior Citizens 60 years old and above who had their 1st visit to a </t>
    </r>
    <r>
      <rPr>
        <b/>
        <i/>
        <sz val="10"/>
        <color theme="1"/>
        <rFont val="Arial"/>
      </rPr>
      <t>non-facility-based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</si>
  <si>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6a. Pregnant Women who had their 1st visit to a </t>
    </r>
    <r>
      <rPr>
        <b/>
        <i/>
        <sz val="10"/>
        <color theme="1"/>
        <rFont val="Arial"/>
      </rPr>
      <t>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</si>
  <si>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6a. Pregnant Women who completed 2 visits to a </t>
    </r>
    <r>
      <rPr>
        <b/>
        <i/>
        <sz val="10"/>
        <color theme="1"/>
        <rFont val="Arial"/>
      </rPr>
      <t>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</si>
  <si>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6b. Pregnant Women who had their 1st visit to a </t>
    </r>
    <r>
      <rPr>
        <b/>
        <i/>
        <sz val="10"/>
        <color theme="1"/>
        <rFont val="Arial"/>
      </rPr>
      <t>non-facility-based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</si>
  <si>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6b. Pregnant Women who completed 2 visits to a </t>
    </r>
    <r>
      <rPr>
        <b/>
        <i/>
        <sz val="10"/>
        <color theme="1"/>
        <rFont val="Arial"/>
      </rPr>
      <t>non-facility-based</t>
    </r>
    <r>
      <rPr>
        <i/>
        <sz val="10"/>
        <color theme="1"/>
        <rFont val="Arial"/>
      </rPr>
      <t xml:space="preserve"> oral health care professional within a year</t>
    </r>
  </si>
  <si>
    <r>
      <rPr>
        <i/>
        <sz val="10"/>
        <color theme="1"/>
        <rFont val="Arial"/>
      </rPr>
      <t xml:space="preserve">The total number of identified adult (20-59 years old) hypertensives </t>
    </r>
    <r>
      <rPr>
        <b/>
        <i/>
        <sz val="10"/>
        <color theme="1"/>
        <rFont val="Arial"/>
      </rPr>
      <t>(Sum of Q1 to Previous Quarter)</t>
    </r>
  </si>
  <si>
    <r>
      <rPr>
        <i/>
        <sz val="10"/>
        <color theme="1"/>
        <rFont val="Arial"/>
      </rPr>
      <t xml:space="preserve">The total number of identified adults (20-59 years old) with Type II Diabetes </t>
    </r>
    <r>
      <rPr>
        <b/>
        <i/>
        <sz val="10"/>
        <color theme="1"/>
        <rFont val="Arial"/>
      </rPr>
      <t>(Sum of Q1 to Previous Quarter)</t>
    </r>
  </si>
  <si>
    <r>
      <rPr>
        <i/>
        <sz val="10"/>
        <color theme="1"/>
        <rFont val="Arial"/>
      </rPr>
      <t xml:space="preserve">The total number of identified adult (20-59 years old) hypertensives in the </t>
    </r>
    <r>
      <rPr>
        <b/>
        <i/>
        <sz val="10"/>
        <color theme="1"/>
        <rFont val="Arial"/>
      </rPr>
      <t>current quarter</t>
    </r>
  </si>
  <si>
    <r>
      <rPr>
        <i/>
        <sz val="10"/>
        <color theme="1"/>
        <rFont val="Arial"/>
      </rPr>
      <t xml:space="preserve">The total number of identified adults (20-59 years old) with Type II Diabetes in the </t>
    </r>
    <r>
      <rPr>
        <b/>
        <i/>
        <sz val="10"/>
        <color theme="1"/>
        <rFont val="Arial"/>
      </rPr>
      <t>current quarter</t>
    </r>
  </si>
  <si>
    <r>
      <rPr>
        <i/>
        <sz val="10"/>
        <color theme="1"/>
        <rFont val="Arial"/>
      </rPr>
      <t xml:space="preserve">The total number of identified SC (60 years old and above) hypertensives </t>
    </r>
    <r>
      <rPr>
        <b/>
        <i/>
        <sz val="10"/>
        <color theme="1"/>
        <rFont val="Arial"/>
      </rPr>
      <t>(Sum of Q1 to Previous Quarter)</t>
    </r>
  </si>
  <si>
    <r>
      <rPr>
        <i/>
        <sz val="10"/>
        <color theme="1"/>
        <rFont val="Arial"/>
      </rPr>
      <t xml:space="preserve">The total number of identified SCs (60 years old and above) with Type II Diabetes </t>
    </r>
    <r>
      <rPr>
        <b/>
        <i/>
        <sz val="10"/>
        <color theme="1"/>
        <rFont val="Arial"/>
      </rPr>
      <t>(Sum of Q1 to Previous Quarter)</t>
    </r>
  </si>
  <si>
    <r>
      <rPr>
        <i/>
        <sz val="10"/>
        <color theme="1"/>
        <rFont val="Arial"/>
      </rPr>
      <t xml:space="preserve">The total number of identified SC (60 years old and above) hypertensives in the </t>
    </r>
    <r>
      <rPr>
        <b/>
        <i/>
        <sz val="10"/>
        <color theme="1"/>
        <rFont val="Arial"/>
      </rPr>
      <t>current quarter</t>
    </r>
  </si>
  <si>
    <r>
      <rPr>
        <i/>
        <sz val="10"/>
        <color theme="1"/>
        <rFont val="Arial"/>
      </rPr>
      <t>The total number of identified SCs (60 years old and above) with Type II Diabetes in the</t>
    </r>
    <r>
      <rPr>
        <b/>
        <i/>
        <sz val="10"/>
        <color theme="1"/>
        <rFont val="Arial"/>
      </rPr>
      <t xml:space="preserve"> current quarter</t>
    </r>
  </si>
  <si>
    <t>2. Number of high-risk or symptomatic women</t>
  </si>
  <si>
    <t>3. High-risk or symptomatic women aged 30-69 years old provided with Breast Cancer Early Detection Services</t>
  </si>
  <si>
    <t>4. High-risk or symptomatic women aged 30-69 years old found with remarkable or significant results</t>
  </si>
  <si>
    <t>5. High-risk or symptomatic women aged 30-69 years old found with remarkable results and linked to care</t>
  </si>
  <si>
    <t>8. Confirmed Schistosomiasis Cases Treated by age group</t>
  </si>
  <si>
    <t>9. Confirmed Schistosomiasis Cases Treated by complication type</t>
  </si>
  <si>
    <t xml:space="preserve">  9a. Complicated</t>
  </si>
  <si>
    <t xml:space="preserve">  9b. Non-Complicated</t>
  </si>
  <si>
    <r>
      <rPr>
        <b/>
        <sz val="10"/>
        <color theme="1"/>
        <rFont val="Arial"/>
      </rPr>
      <t xml:space="preserve">1. </t>
    </r>
    <r>
      <rPr>
        <b/>
        <i/>
        <u/>
        <sz val="10"/>
        <color theme="1"/>
        <rFont val="Arial"/>
      </rPr>
      <t>Maternal Mortality - Total</t>
    </r>
  </si>
  <si>
    <r>
      <rPr>
        <b/>
        <i/>
        <sz val="10"/>
        <color theme="1"/>
        <rFont val="Arial"/>
      </rPr>
      <t xml:space="preserve">1. </t>
    </r>
    <r>
      <rPr>
        <b/>
        <i/>
        <u/>
        <sz val="10"/>
        <color theme="1"/>
        <rFont val="Arial"/>
      </rPr>
      <t>Live births (Total)</t>
    </r>
  </si>
  <si>
    <r>
      <rPr>
        <b/>
        <i/>
        <sz val="10"/>
        <color theme="1"/>
        <rFont val="Arial"/>
      </rPr>
      <t xml:space="preserve">2. </t>
    </r>
    <r>
      <rPr>
        <b/>
        <i/>
        <u/>
        <sz val="10"/>
        <color theme="1"/>
        <rFont val="Arial"/>
      </rPr>
      <t>Adolescent Birth</t>
    </r>
  </si>
  <si>
    <r>
      <rPr>
        <b/>
        <i/>
        <sz val="10"/>
        <color theme="1"/>
        <rFont val="Arial"/>
      </rPr>
      <t xml:space="preserve">3. </t>
    </r>
    <r>
      <rPr>
        <b/>
        <i/>
        <u/>
        <sz val="10"/>
        <color theme="1"/>
        <rFont val="Arial"/>
      </rPr>
      <t>Repeat Adolescent Birth</t>
    </r>
  </si>
  <si>
    <r>
      <rPr>
        <b/>
        <sz val="10"/>
        <color theme="1"/>
        <rFont val="Arial"/>
      </rPr>
      <t xml:space="preserve">2. </t>
    </r>
    <r>
      <rPr>
        <b/>
        <i/>
        <u/>
        <sz val="10"/>
        <color theme="1"/>
        <rFont val="Arial"/>
      </rPr>
      <t>Infant Mortality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</si>
</sst>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1" formatCode="m\-d"/>
  </numFmts>
  <fonts count="22" x14ac:knownFonts="1">
    <font>
      <sz val="10"/>
      <color rgb="FF000000"/>
      <name val="Arial"/>
      <scheme val="minor"/>
    </font>
    <font>
      <b/>
      <sz val="11"/>
      <color rgb="FFFFFFFF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name val="Arial"/>
    </font>
    <font>
      <b/>
      <sz val="11"/>
      <color theme="1"/>
      <name val="Arial"/>
    </font>
    <font>
      <b/>
      <sz val="10"/>
      <color theme="1"/>
      <name val="Arial"/>
    </font>
    <font>
      <b/>
      <sz val="10"/>
      <color rgb="FFFFFFFF"/>
      <name val="Arial"/>
    </font>
    <font>
      <i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i/>
      <sz val="10"/>
      <color theme="1"/>
      <name val="Arial"/>
    </font>
    <font>
      <b/>
      <sz val="42"/>
      <color theme="1"/>
      <name val="Arial"/>
    </font>
    <font>
      <b/>
      <i/>
      <sz val="10"/>
      <color theme="1"/>
      <name val="Arial"/>
    </font>
    <font>
      <b/>
      <i/>
      <u/>
      <sz val="10"/>
      <color theme="1"/>
      <name val="Arial"/>
    </font>
    <font>
      <b/>
      <i/>
      <u/>
      <sz val="10"/>
      <color theme="1"/>
      <name val="Arial"/>
    </font>
    <font>
      <b/>
      <i/>
      <u/>
      <sz val="10"/>
      <color theme="1"/>
      <name val="Arial"/>
    </font>
    <font>
      <b/>
      <i/>
      <u/>
      <sz val="10"/>
      <color theme="1"/>
      <name val="Arial"/>
    </font>
    <font>
      <b/>
      <i/>
      <u/>
      <sz val="10"/>
      <color theme="1"/>
      <name val="Arial"/>
    </font>
    <font>
      <b/>
      <i/>
      <u/>
      <sz val="10"/>
      <color theme="1"/>
      <name val="Arial"/>
    </font>
    <font>
      <b/>
      <i/>
      <sz val="10"/>
      <color theme="1"/>
      <name val="Arial"/>
    </font>
    <font>
      <sz val="10"/>
      <color rgb="FFFFFFFF"/>
      <name val="Arial"/>
    </font>
  </fonts>
  <fills count="1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D8D8D8"/>
        <bgColor rgb="FFD8D8D8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595959"/>
        <bgColor rgb="FF595959"/>
      </patternFill>
    </fill>
    <fill>
      <patternFill patternType="solid">
        <fgColor rgb="FF434343"/>
        <bgColor rgb="FF434343"/>
      </patternFill>
    </fill>
  </fills>
  <borders count="7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FFFFFF"/>
      </bottom>
      <diagonal/>
    </border>
    <border>
      <left/>
      <right/>
      <top style="thick">
        <color rgb="FF000000"/>
      </top>
      <bottom style="thin">
        <color rgb="FFFFFFFF"/>
      </bottom>
      <diagonal/>
    </border>
    <border>
      <left/>
      <right style="thick">
        <color rgb="FF000000"/>
      </right>
      <top style="thick">
        <color rgb="FF000000"/>
      </top>
      <bottom style="thin">
        <color rgb="FFFFFFFF"/>
      </bottom>
      <diagonal/>
    </border>
    <border>
      <left style="thick">
        <color rgb="FF000000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ck">
        <color rgb="FF000000"/>
      </right>
      <top style="thin">
        <color rgb="FFFFFFFF"/>
      </top>
      <bottom/>
      <diagonal/>
    </border>
    <border>
      <left style="thick">
        <color rgb="FF000000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ck">
        <color rgb="FF000000"/>
      </right>
      <top/>
      <bottom style="thin">
        <color rgb="FFFFFFFF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ck">
        <color rgb="FF000000"/>
      </right>
      <top style="thin">
        <color rgb="FFFFFFFF"/>
      </top>
      <bottom/>
      <diagonal/>
    </border>
    <border>
      <left style="thick">
        <color rgb="FF000000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ck">
        <color rgb="FF000000"/>
      </right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ck">
        <color rgb="FF000000"/>
      </left>
      <right/>
      <top style="thin">
        <color rgb="FFFFFFFF"/>
      </top>
      <bottom style="thin">
        <color rgb="FFFFFFFF"/>
      </bottom>
      <diagonal/>
    </border>
    <border>
      <left/>
      <right style="thick">
        <color rgb="FF000000"/>
      </right>
      <top style="thin">
        <color rgb="FFFFFFFF"/>
      </top>
      <bottom style="thin">
        <color rgb="FFFFFFFF"/>
      </bottom>
      <diagonal/>
    </border>
    <border>
      <left style="thick">
        <color rgb="FF000000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FFFFFF"/>
      </right>
      <top style="thin">
        <color rgb="FF000000"/>
      </top>
      <bottom style="thin">
        <color rgb="FFFFFFFF"/>
      </bottom>
      <diagonal/>
    </border>
    <border>
      <left/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69">
    <xf numFmtId="0" fontId="0" fillId="0" borderId="0" xfId="0" applyFont="1" applyAlignment="1"/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0" xfId="0" applyFont="1"/>
    <xf numFmtId="0" fontId="3" fillId="0" borderId="2" xfId="0" applyFont="1" applyBorder="1"/>
    <xf numFmtId="0" fontId="3" fillId="0" borderId="6" xfId="0" applyFont="1" applyBorder="1" applyAlignment="1">
      <alignment vertical="center"/>
    </xf>
    <xf numFmtId="0" fontId="6" fillId="3" borderId="7" xfId="0" applyFont="1" applyFill="1" applyBorder="1" applyAlignment="1">
      <alignment vertical="center" wrapText="1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3" xfId="0" quotePrefix="1" applyFont="1" applyFill="1" applyBorder="1" applyAlignment="1">
      <alignment horizontal="center" vertical="center"/>
    </xf>
    <xf numFmtId="0" fontId="8" fillId="0" borderId="30" xfId="0" applyFont="1" applyBorder="1" applyAlignment="1">
      <alignment vertical="center" wrapText="1"/>
    </xf>
    <xf numFmtId="0" fontId="3" fillId="0" borderId="7" xfId="0" applyFont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3" fillId="4" borderId="31" xfId="0" applyFont="1" applyFill="1" applyBorder="1" applyAlignment="1">
      <alignment vertical="center"/>
    </xf>
    <xf numFmtId="0" fontId="8" fillId="0" borderId="30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13" fillId="4" borderId="30" xfId="0" applyFont="1" applyFill="1" applyBorder="1" applyAlignment="1">
      <alignment vertical="center" wrapText="1"/>
    </xf>
    <xf numFmtId="0" fontId="7" fillId="2" borderId="18" xfId="0" quotePrefix="1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13" fillId="10" borderId="22" xfId="0" applyFont="1" applyFill="1" applyBorder="1" applyAlignment="1">
      <alignment vertical="center" wrapText="1"/>
    </xf>
    <xf numFmtId="0" fontId="6" fillId="10" borderId="7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/>
    </xf>
    <xf numFmtId="0" fontId="8" fillId="0" borderId="24" xfId="0" applyFont="1" applyBorder="1" applyAlignment="1">
      <alignment vertical="center" wrapText="1"/>
    </xf>
    <xf numFmtId="0" fontId="13" fillId="9" borderId="30" xfId="0" applyFont="1" applyFill="1" applyBorder="1" applyAlignment="1">
      <alignment vertical="center" wrapText="1"/>
    </xf>
    <xf numFmtId="0" fontId="3" fillId="9" borderId="7" xfId="0" applyFont="1" applyFill="1" applyBorder="1" applyAlignment="1">
      <alignment vertical="center"/>
    </xf>
    <xf numFmtId="0" fontId="13" fillId="10" borderId="30" xfId="0" applyFont="1" applyFill="1" applyBorder="1" applyAlignment="1">
      <alignment vertical="center" wrapText="1"/>
    </xf>
    <xf numFmtId="0" fontId="6" fillId="10" borderId="7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3" fillId="10" borderId="24" xfId="0" applyFont="1" applyFill="1" applyBorder="1" applyAlignment="1">
      <alignment vertical="center" wrapText="1"/>
    </xf>
    <xf numFmtId="0" fontId="7" fillId="2" borderId="7" xfId="0" applyFont="1" applyFill="1" applyBorder="1" applyAlignment="1">
      <alignment horizontal="center" vertical="center"/>
    </xf>
    <xf numFmtId="0" fontId="8" fillId="0" borderId="9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wrapText="1"/>
    </xf>
    <xf numFmtId="0" fontId="3" fillId="0" borderId="7" xfId="0" applyFont="1" applyBorder="1"/>
    <xf numFmtId="0" fontId="6" fillId="4" borderId="7" xfId="0" applyFont="1" applyFill="1" applyBorder="1" applyAlignment="1">
      <alignment horizontal="center"/>
    </xf>
    <xf numFmtId="0" fontId="8" fillId="0" borderId="22" xfId="0" applyFont="1" applyBorder="1" applyAlignment="1">
      <alignment wrapText="1"/>
    </xf>
    <xf numFmtId="0" fontId="8" fillId="0" borderId="22" xfId="0" applyFont="1" applyBorder="1" applyAlignment="1">
      <alignment wrapText="1"/>
    </xf>
    <xf numFmtId="0" fontId="8" fillId="0" borderId="30" xfId="0" applyFont="1" applyBorder="1" applyAlignment="1">
      <alignment wrapText="1"/>
    </xf>
    <xf numFmtId="0" fontId="3" fillId="0" borderId="7" xfId="0" applyFont="1" applyBorder="1"/>
    <xf numFmtId="0" fontId="6" fillId="4" borderId="7" xfId="0" applyFont="1" applyFill="1" applyBorder="1" applyAlignment="1">
      <alignment horizontal="center"/>
    </xf>
    <xf numFmtId="0" fontId="3" fillId="12" borderId="0" xfId="0" applyFont="1" applyFill="1"/>
    <xf numFmtId="0" fontId="6" fillId="4" borderId="2" xfId="0" applyFont="1" applyFill="1" applyBorder="1" applyAlignment="1">
      <alignment horizontal="center"/>
    </xf>
    <xf numFmtId="0" fontId="8" fillId="0" borderId="28" xfId="0" applyFont="1" applyBorder="1" applyAlignment="1">
      <alignment wrapText="1"/>
    </xf>
    <xf numFmtId="0" fontId="3" fillId="0" borderId="9" xfId="0" applyFont="1" applyBorder="1"/>
    <xf numFmtId="0" fontId="8" fillId="0" borderId="28" xfId="0" applyFont="1" applyBorder="1" applyAlignment="1">
      <alignment wrapText="1"/>
    </xf>
    <xf numFmtId="0" fontId="6" fillId="4" borderId="7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/>
    <xf numFmtId="0" fontId="2" fillId="0" borderId="5" xfId="0" applyFont="1" applyBorder="1"/>
    <xf numFmtId="0" fontId="8" fillId="0" borderId="37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6" fillId="4" borderId="6" xfId="0" applyFont="1" applyFill="1" applyBorder="1" applyAlignment="1">
      <alignment horizontal="center" vertical="center"/>
    </xf>
    <xf numFmtId="0" fontId="8" fillId="0" borderId="24" xfId="0" applyFont="1" applyBorder="1" applyAlignment="1">
      <alignment vertical="center" wrapText="1"/>
    </xf>
    <xf numFmtId="0" fontId="6" fillId="4" borderId="2" xfId="0" applyFont="1" applyFill="1" applyBorder="1" applyAlignment="1">
      <alignment horizontal="center" vertical="center"/>
    </xf>
    <xf numFmtId="171" fontId="7" fillId="2" borderId="18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3" fillId="0" borderId="22" xfId="0" applyFont="1" applyBorder="1" applyAlignment="1">
      <alignment vertical="center" wrapText="1"/>
    </xf>
    <xf numFmtId="49" fontId="11" fillId="0" borderId="30" xfId="0" applyNumberFormat="1" applyFont="1" applyBorder="1" applyAlignment="1">
      <alignment vertical="center" wrapText="1"/>
    </xf>
    <xf numFmtId="0" fontId="7" fillId="2" borderId="7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vertical="center" wrapText="1"/>
    </xf>
    <xf numFmtId="0" fontId="3" fillId="0" borderId="30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/>
    </xf>
    <xf numFmtId="0" fontId="3" fillId="0" borderId="31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29" xfId="0" applyFont="1" applyFill="1" applyBorder="1" applyAlignment="1">
      <alignment vertical="center"/>
    </xf>
    <xf numFmtId="0" fontId="15" fillId="10" borderId="22" xfId="0" applyFont="1" applyFill="1" applyBorder="1" applyAlignment="1">
      <alignment vertical="center" wrapText="1"/>
    </xf>
    <xf numFmtId="0" fontId="17" fillId="10" borderId="7" xfId="0" applyFont="1" applyFill="1" applyBorder="1" applyAlignment="1">
      <alignment vertical="center" wrapText="1"/>
    </xf>
    <xf numFmtId="0" fontId="18" fillId="10" borderId="30" xfId="0" applyFont="1" applyFill="1" applyBorder="1" applyAlignment="1">
      <alignment wrapText="1"/>
    </xf>
    <xf numFmtId="0" fontId="3" fillId="10" borderId="7" xfId="0" applyFont="1" applyFill="1" applyBorder="1"/>
    <xf numFmtId="0" fontId="3" fillId="4" borderId="7" xfId="0" applyFont="1" applyFill="1" applyBorder="1"/>
    <xf numFmtId="0" fontId="3" fillId="0" borderId="30" xfId="0" applyFont="1" applyBorder="1" applyAlignment="1">
      <alignment wrapText="1"/>
    </xf>
    <xf numFmtId="0" fontId="6" fillId="9" borderId="7" xfId="0" applyFont="1" applyFill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3" fillId="0" borderId="7" xfId="0" applyFont="1" applyBorder="1" applyAlignment="1">
      <alignment wrapText="1"/>
    </xf>
    <xf numFmtId="0" fontId="9" fillId="7" borderId="12" xfId="0" applyFont="1" applyFill="1" applyBorder="1" applyAlignment="1">
      <alignment vertical="center"/>
    </xf>
    <xf numFmtId="0" fontId="3" fillId="7" borderId="26" xfId="0" applyFont="1" applyFill="1" applyBorder="1" applyAlignment="1">
      <alignment vertical="center"/>
    </xf>
    <xf numFmtId="0" fontId="9" fillId="7" borderId="12" xfId="0" applyFont="1" applyFill="1" applyBorder="1" applyAlignment="1">
      <alignment vertical="center"/>
    </xf>
    <xf numFmtId="0" fontId="9" fillId="0" borderId="7" xfId="0" applyFont="1" applyBorder="1" applyAlignment="1">
      <alignment vertical="center"/>
    </xf>
    <xf numFmtId="0" fontId="9" fillId="4" borderId="7" xfId="0" applyFont="1" applyFill="1" applyBorder="1" applyAlignment="1">
      <alignment vertical="center"/>
    </xf>
    <xf numFmtId="0" fontId="3" fillId="7" borderId="26" xfId="0" applyFont="1" applyFill="1" applyBorder="1" applyAlignment="1">
      <alignment vertical="center"/>
    </xf>
    <xf numFmtId="0" fontId="9" fillId="7" borderId="0" xfId="0" applyFont="1" applyFill="1" applyAlignment="1">
      <alignment vertical="center"/>
    </xf>
    <xf numFmtId="0" fontId="9" fillId="0" borderId="7" xfId="0" applyFont="1" applyBorder="1" applyAlignment="1">
      <alignment vertical="center"/>
    </xf>
    <xf numFmtId="0" fontId="9" fillId="4" borderId="7" xfId="0" applyFont="1" applyFill="1" applyBorder="1" applyAlignment="1">
      <alignment vertical="center"/>
    </xf>
    <xf numFmtId="0" fontId="6" fillId="9" borderId="7" xfId="0" applyFont="1" applyFill="1" applyBorder="1" applyAlignment="1">
      <alignment vertical="center" wrapText="1"/>
    </xf>
    <xf numFmtId="171" fontId="1" fillId="2" borderId="58" xfId="0" applyNumberFormat="1" applyFont="1" applyFill="1" applyBorder="1" applyAlignment="1">
      <alignment horizontal="center" vertical="center"/>
    </xf>
    <xf numFmtId="0" fontId="1" fillId="2" borderId="58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5" fillId="6" borderId="27" xfId="0" applyFont="1" applyFill="1" applyBorder="1" applyAlignment="1">
      <alignment vertical="center"/>
    </xf>
    <xf numFmtId="0" fontId="3" fillId="6" borderId="7" xfId="0" applyFont="1" applyFill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10" fillId="9" borderId="27" xfId="0" applyFont="1" applyFill="1" applyBorder="1" applyAlignment="1">
      <alignment vertical="center"/>
    </xf>
    <xf numFmtId="171" fontId="6" fillId="9" borderId="7" xfId="0" applyNumberFormat="1" applyFont="1" applyFill="1" applyBorder="1" applyAlignment="1">
      <alignment vertical="center"/>
    </xf>
    <xf numFmtId="0" fontId="6" fillId="9" borderId="7" xfId="0" applyFont="1" applyFill="1" applyBorder="1" applyAlignment="1">
      <alignment vertical="center"/>
    </xf>
    <xf numFmtId="0" fontId="9" fillId="9" borderId="7" xfId="0" applyFont="1" applyFill="1" applyBorder="1" applyAlignment="1">
      <alignment vertical="center"/>
    </xf>
    <xf numFmtId="0" fontId="10" fillId="0" borderId="30" xfId="0" applyFont="1" applyBorder="1" applyAlignment="1">
      <alignment vertical="center"/>
    </xf>
    <xf numFmtId="0" fontId="9" fillId="9" borderId="7" xfId="0" applyFont="1" applyFill="1" applyBorder="1" applyAlignment="1">
      <alignment vertical="center"/>
    </xf>
    <xf numFmtId="0" fontId="11" fillId="0" borderId="30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11" fillId="0" borderId="24" xfId="0" applyFont="1" applyBorder="1" applyAlignment="1">
      <alignment vertical="center"/>
    </xf>
    <xf numFmtId="0" fontId="10" fillId="0" borderId="67" xfId="0" applyFont="1" applyBorder="1" applyAlignment="1">
      <alignment vertical="center"/>
    </xf>
    <xf numFmtId="0" fontId="6" fillId="0" borderId="67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9" fillId="9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0" xfId="0" applyFont="1" applyAlignment="1"/>
    <xf numFmtId="0" fontId="4" fillId="0" borderId="6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1" xfId="0" applyFont="1" applyBorder="1"/>
    <xf numFmtId="0" fontId="3" fillId="0" borderId="8" xfId="0" applyFont="1" applyBorder="1" applyAlignment="1">
      <alignment vertical="center"/>
    </xf>
    <xf numFmtId="0" fontId="4" fillId="0" borderId="9" xfId="0" applyFont="1" applyBorder="1"/>
    <xf numFmtId="0" fontId="3" fillId="0" borderId="2" xfId="0" applyFont="1" applyBorder="1" applyAlignment="1">
      <alignment vertical="center"/>
    </xf>
    <xf numFmtId="0" fontId="4" fillId="0" borderId="10" xfId="0" applyFont="1" applyBorder="1"/>
    <xf numFmtId="0" fontId="4" fillId="0" borderId="11" xfId="0" applyFont="1" applyBorder="1"/>
    <xf numFmtId="0" fontId="4" fillId="0" borderId="17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9" xfId="0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7" xfId="0" applyFont="1" applyBorder="1"/>
    <xf numFmtId="0" fontId="4" fillId="0" borderId="25" xfId="0" applyFont="1" applyBorder="1"/>
    <xf numFmtId="0" fontId="4" fillId="0" borderId="26" xfId="0" applyFont="1" applyBorder="1"/>
    <xf numFmtId="0" fontId="4" fillId="0" borderId="28" xfId="0" applyFont="1" applyBorder="1"/>
    <xf numFmtId="0" fontId="4" fillId="0" borderId="29" xfId="0" applyFont="1" applyBorder="1"/>
    <xf numFmtId="0" fontId="6" fillId="3" borderId="28" xfId="0" applyFont="1" applyFill="1" applyBorder="1" applyAlignment="1">
      <alignment vertical="center" wrapText="1"/>
    </xf>
    <xf numFmtId="0" fontId="4" fillId="0" borderId="35" xfId="0" applyFont="1" applyBorder="1"/>
    <xf numFmtId="0" fontId="4" fillId="0" borderId="36" xfId="0" applyFont="1" applyBorder="1"/>
    <xf numFmtId="0" fontId="4" fillId="0" borderId="38" xfId="0" applyFont="1" applyBorder="1"/>
    <xf numFmtId="0" fontId="3" fillId="0" borderId="23" xfId="0" applyFont="1" applyBorder="1" applyAlignment="1">
      <alignment vertical="center"/>
    </xf>
    <xf numFmtId="0" fontId="4" fillId="0" borderId="39" xfId="0" applyFont="1" applyBorder="1"/>
    <xf numFmtId="0" fontId="6" fillId="3" borderId="22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7" fillId="2" borderId="41" xfId="0" applyFont="1" applyFill="1" applyBorder="1" applyAlignment="1">
      <alignment horizontal="center" vertical="center" wrapText="1"/>
    </xf>
    <xf numFmtId="0" fontId="4" fillId="0" borderId="42" xfId="0" applyFont="1" applyBorder="1"/>
    <xf numFmtId="0" fontId="4" fillId="0" borderId="43" xfId="0" applyFont="1" applyBorder="1"/>
    <xf numFmtId="0" fontId="7" fillId="2" borderId="44" xfId="0" applyFont="1" applyFill="1" applyBorder="1" applyAlignment="1">
      <alignment horizontal="center" vertical="center" wrapText="1"/>
    </xf>
    <xf numFmtId="0" fontId="4" fillId="0" borderId="45" xfId="0" applyFont="1" applyBorder="1"/>
    <xf numFmtId="0" fontId="4" fillId="0" borderId="46" xfId="0" applyFont="1" applyBorder="1"/>
    <xf numFmtId="0" fontId="4" fillId="0" borderId="49" xfId="0" applyFont="1" applyBorder="1"/>
    <xf numFmtId="0" fontId="4" fillId="0" borderId="50" xfId="0" applyFont="1" applyBorder="1"/>
    <xf numFmtId="0" fontId="4" fillId="0" borderId="51" xfId="0" applyFont="1" applyBorder="1"/>
    <xf numFmtId="0" fontId="7" fillId="2" borderId="14" xfId="0" applyFont="1" applyFill="1" applyBorder="1" applyAlignment="1">
      <alignment horizontal="center" vertical="center"/>
    </xf>
    <xf numFmtId="0" fontId="7" fillId="2" borderId="47" xfId="0" applyFont="1" applyFill="1" applyBorder="1" applyAlignment="1">
      <alignment horizontal="center" vertical="center"/>
    </xf>
    <xf numFmtId="0" fontId="4" fillId="0" borderId="52" xfId="0" applyFont="1" applyBorder="1"/>
    <xf numFmtId="0" fontId="4" fillId="0" borderId="48" xfId="0" applyFont="1" applyBorder="1"/>
    <xf numFmtId="0" fontId="4" fillId="0" borderId="53" xfId="0" applyFont="1" applyBorder="1"/>
    <xf numFmtId="0" fontId="7" fillId="2" borderId="14" xfId="0" quotePrefix="1" applyFont="1" applyFill="1" applyBorder="1" applyAlignment="1">
      <alignment horizontal="center" vertical="center"/>
    </xf>
    <xf numFmtId="0" fontId="8" fillId="0" borderId="37" xfId="0" applyFont="1" applyBorder="1" applyAlignment="1">
      <alignment vertical="center" wrapText="1"/>
    </xf>
    <xf numFmtId="0" fontId="7" fillId="2" borderId="54" xfId="0" applyFont="1" applyFill="1" applyBorder="1" applyAlignment="1">
      <alignment horizontal="center" vertical="center" wrapText="1"/>
    </xf>
    <xf numFmtId="0" fontId="4" fillId="0" borderId="32" xfId="0" applyFont="1" applyBorder="1"/>
    <xf numFmtId="0" fontId="4" fillId="0" borderId="56" xfId="0" applyFont="1" applyBorder="1"/>
    <xf numFmtId="0" fontId="7" fillId="2" borderId="13" xfId="0" applyFont="1" applyFill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0" fontId="4" fillId="0" borderId="57" xfId="0" applyFont="1" applyBorder="1"/>
    <xf numFmtId="0" fontId="3" fillId="0" borderId="3" xfId="0" applyFont="1" applyBorder="1" applyAlignment="1">
      <alignment vertical="center"/>
    </xf>
    <xf numFmtId="0" fontId="8" fillId="0" borderId="3" xfId="0" applyFont="1" applyBorder="1" applyAlignment="1">
      <alignment vertical="center" wrapText="1"/>
    </xf>
    <xf numFmtId="0" fontId="6" fillId="9" borderId="3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horizontal="center" vertical="center"/>
    </xf>
    <xf numFmtId="0" fontId="8" fillId="0" borderId="8" xfId="0" applyFont="1" applyBorder="1" applyAlignment="1">
      <alignment vertical="center" wrapText="1"/>
    </xf>
    <xf numFmtId="0" fontId="13" fillId="4" borderId="22" xfId="0" applyFont="1" applyFill="1" applyBorder="1" applyAlignment="1">
      <alignment vertical="center" wrapText="1"/>
    </xf>
    <xf numFmtId="0" fontId="6" fillId="10" borderId="3" xfId="0" applyFont="1" applyFill="1" applyBorder="1" applyAlignment="1">
      <alignment horizontal="center" vertical="center"/>
    </xf>
    <xf numFmtId="0" fontId="7" fillId="2" borderId="47" xfId="0" applyFont="1" applyFill="1" applyBorder="1" applyAlignment="1">
      <alignment horizontal="center" vertical="center" wrapText="1"/>
    </xf>
    <xf numFmtId="0" fontId="7" fillId="2" borderId="49" xfId="0" applyFont="1" applyFill="1" applyBorder="1" applyAlignment="1">
      <alignment horizontal="center" vertical="center" wrapText="1"/>
    </xf>
    <xf numFmtId="0" fontId="13" fillId="4" borderId="28" xfId="0" applyFont="1" applyFill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6" fillId="10" borderId="8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/>
    </xf>
    <xf numFmtId="0" fontId="4" fillId="0" borderId="58" xfId="0" applyFont="1" applyBorder="1"/>
    <xf numFmtId="0" fontId="7" fillId="2" borderId="33" xfId="0" applyFont="1" applyFill="1" applyBorder="1" applyAlignment="1">
      <alignment horizontal="center" vertical="center" wrapText="1"/>
    </xf>
    <xf numFmtId="0" fontId="13" fillId="10" borderId="3" xfId="0" applyFont="1" applyFill="1" applyBorder="1" applyAlignment="1">
      <alignment vertical="center"/>
    </xf>
    <xf numFmtId="0" fontId="8" fillId="0" borderId="3" xfId="0" applyFont="1" applyBorder="1" applyAlignment="1">
      <alignment vertical="center"/>
    </xf>
    <xf numFmtId="0" fontId="14" fillId="4" borderId="3" xfId="0" applyFont="1" applyFill="1" applyBorder="1" applyAlignment="1">
      <alignment vertical="center" wrapText="1"/>
    </xf>
    <xf numFmtId="0" fontId="3" fillId="0" borderId="9" xfId="0" applyFont="1" applyBorder="1" applyAlignment="1">
      <alignment vertical="center"/>
    </xf>
    <xf numFmtId="0" fontId="6" fillId="6" borderId="28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8" fillId="0" borderId="9" xfId="0" applyFont="1" applyBorder="1" applyAlignment="1">
      <alignment vertical="center" wrapText="1"/>
    </xf>
    <xf numFmtId="0" fontId="8" fillId="0" borderId="8" xfId="0" applyFont="1" applyBorder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3" fillId="11" borderId="23" xfId="0" applyFont="1" applyFill="1" applyBorder="1" applyAlignment="1">
      <alignment vertical="center"/>
    </xf>
    <xf numFmtId="0" fontId="7" fillId="2" borderId="59" xfId="0" applyFont="1" applyFill="1" applyBorder="1" applyAlignment="1">
      <alignment horizontal="center" vertical="center" wrapText="1"/>
    </xf>
    <xf numFmtId="0" fontId="4" fillId="0" borderId="60" xfId="0" applyFont="1" applyBorder="1"/>
    <xf numFmtId="0" fontId="6" fillId="3" borderId="22" xfId="0" applyFont="1" applyFill="1" applyBorder="1" applyAlignment="1">
      <alignment wrapText="1"/>
    </xf>
    <xf numFmtId="0" fontId="13" fillId="8" borderId="22" xfId="0" applyFont="1" applyFill="1" applyBorder="1" applyAlignment="1">
      <alignment wrapText="1"/>
    </xf>
    <xf numFmtId="0" fontId="3" fillId="0" borderId="3" xfId="0" applyFont="1" applyBorder="1"/>
    <xf numFmtId="0" fontId="3" fillId="12" borderId="0" xfId="0" applyFont="1" applyFill="1"/>
    <xf numFmtId="0" fontId="6" fillId="8" borderId="22" xfId="0" applyFont="1" applyFill="1" applyBorder="1" applyAlignment="1">
      <alignment wrapText="1"/>
    </xf>
    <xf numFmtId="0" fontId="8" fillId="0" borderId="9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3" fillId="0" borderId="8" xfId="0" applyFont="1" applyBorder="1"/>
    <xf numFmtId="0" fontId="8" fillId="12" borderId="0" xfId="0" applyFont="1" applyFill="1"/>
    <xf numFmtId="0" fontId="6" fillId="8" borderId="28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vertical="center"/>
    </xf>
    <xf numFmtId="0" fontId="6" fillId="3" borderId="37" xfId="0" applyFont="1" applyFill="1" applyBorder="1" applyAlignment="1">
      <alignment vertical="center" wrapText="1"/>
    </xf>
    <xf numFmtId="0" fontId="7" fillId="2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49" fontId="3" fillId="0" borderId="3" xfId="0" applyNumberFormat="1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2" fillId="0" borderId="3" xfId="0" applyFont="1" applyBorder="1" applyAlignment="1"/>
    <xf numFmtId="0" fontId="3" fillId="3" borderId="20" xfId="0" applyFont="1" applyFill="1" applyBorder="1" applyAlignment="1">
      <alignment vertical="center"/>
    </xf>
    <xf numFmtId="0" fontId="4" fillId="0" borderId="37" xfId="0" applyFont="1" applyBorder="1"/>
    <xf numFmtId="0" fontId="7" fillId="2" borderId="20" xfId="0" applyFont="1" applyFill="1" applyBorder="1" applyAlignment="1">
      <alignment horizontal="center" vertical="center" wrapText="1"/>
    </xf>
    <xf numFmtId="0" fontId="3" fillId="0" borderId="22" xfId="0" applyFont="1" applyBorder="1" applyAlignment="1">
      <alignment vertical="center" wrapText="1"/>
    </xf>
    <xf numFmtId="0" fontId="3" fillId="0" borderId="22" xfId="0" applyFont="1" applyBorder="1" applyAlignment="1">
      <alignment vertical="center"/>
    </xf>
    <xf numFmtId="0" fontId="3" fillId="3" borderId="20" xfId="0" applyFont="1" applyFill="1" applyBorder="1"/>
    <xf numFmtId="0" fontId="6" fillId="4" borderId="3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3" fillId="5" borderId="3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1" fillId="2" borderId="61" xfId="0" applyFont="1" applyFill="1" applyBorder="1" applyAlignment="1">
      <alignment horizontal="center" vertical="center" wrapText="1"/>
    </xf>
    <xf numFmtId="0" fontId="1" fillId="2" borderId="62" xfId="0" applyFont="1" applyFill="1" applyBorder="1" applyAlignment="1">
      <alignment horizontal="center" vertical="center"/>
    </xf>
    <xf numFmtId="0" fontId="4" fillId="0" borderId="63" xfId="0" applyFont="1" applyBorder="1"/>
    <xf numFmtId="0" fontId="4" fillId="0" borderId="64" xfId="0" applyFont="1" applyBorder="1"/>
    <xf numFmtId="0" fontId="6" fillId="0" borderId="68" xfId="0" applyFont="1" applyBorder="1" applyAlignment="1">
      <alignment vertical="center"/>
    </xf>
    <xf numFmtId="0" fontId="4" fillId="0" borderId="69" xfId="0" applyFont="1" applyBorder="1"/>
    <xf numFmtId="0" fontId="4" fillId="0" borderId="70" xfId="0" applyFont="1" applyBorder="1"/>
    <xf numFmtId="0" fontId="1" fillId="2" borderId="11" xfId="0" applyFont="1" applyFill="1" applyBorder="1" applyAlignment="1">
      <alignment horizontal="center" vertical="center"/>
    </xf>
    <xf numFmtId="0" fontId="4" fillId="0" borderId="65" xfId="0" applyFont="1" applyBorder="1"/>
    <xf numFmtId="0" fontId="3" fillId="6" borderId="3" xfId="0" applyFont="1" applyFill="1" applyBorder="1" applyAlignment="1">
      <alignment vertical="center"/>
    </xf>
    <xf numFmtId="0" fontId="6" fillId="9" borderId="3" xfId="0" applyFont="1" applyFill="1" applyBorder="1" applyAlignment="1">
      <alignment vertical="center"/>
    </xf>
    <xf numFmtId="0" fontId="16" fillId="10" borderId="3" xfId="0" applyFont="1" applyFill="1" applyBorder="1" applyAlignment="1">
      <alignment vertical="center" wrapText="1"/>
    </xf>
    <xf numFmtId="0" fontId="6" fillId="3" borderId="20" xfId="0" applyFont="1" applyFill="1" applyBorder="1" applyAlignment="1">
      <alignment vertical="center" wrapText="1"/>
    </xf>
    <xf numFmtId="0" fontId="1" fillId="2" borderId="49" xfId="0" applyFont="1" applyFill="1" applyBorder="1" applyAlignment="1">
      <alignment horizontal="center" vertical="center" wrapText="1"/>
    </xf>
    <xf numFmtId="0" fontId="20" fillId="9" borderId="9" xfId="0" applyFont="1" applyFill="1" applyBorder="1" applyAlignment="1">
      <alignment vertical="center"/>
    </xf>
    <xf numFmtId="0" fontId="9" fillId="9" borderId="3" xfId="0" applyFont="1" applyFill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3" borderId="40" xfId="0" applyFont="1" applyFill="1" applyBorder="1" applyAlignment="1">
      <alignment vertical="center"/>
    </xf>
    <xf numFmtId="0" fontId="1" fillId="2" borderId="66" xfId="0" applyFont="1" applyFill="1" applyBorder="1" applyAlignment="1">
      <alignment horizontal="center" vertical="center" wrapText="1"/>
    </xf>
    <xf numFmtId="0" fontId="1" fillId="2" borderId="66" xfId="0" applyFont="1" applyFill="1" applyBorder="1" applyAlignment="1">
      <alignment horizontal="center" vertical="center"/>
    </xf>
    <xf numFmtId="0" fontId="5" fillId="6" borderId="23" xfId="0" applyFont="1" applyFill="1" applyBorder="1" applyAlignment="1">
      <alignment vertical="center"/>
    </xf>
    <xf numFmtId="0" fontId="6" fillId="3" borderId="0" xfId="0" applyFont="1" applyFill="1" applyAlignment="1">
      <alignment vertical="center" wrapText="1"/>
    </xf>
    <xf numFmtId="0" fontId="7" fillId="2" borderId="34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171" fontId="7" fillId="2" borderId="3" xfId="0" applyNumberFormat="1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 wrapText="1"/>
    </xf>
    <xf numFmtId="0" fontId="7" fillId="2" borderId="49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vertical="center" wrapText="1"/>
    </xf>
    <xf numFmtId="0" fontId="7" fillId="2" borderId="59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wrapText="1"/>
    </xf>
    <xf numFmtId="0" fontId="19" fillId="10" borderId="3" xfId="0" applyFont="1" applyFill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13" borderId="8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1524000</xdr:colOff>
      <xdr:row>1</xdr:row>
      <xdr:rowOff>66675</xdr:rowOff>
    </xdr:from>
    <xdr:ext cx="895350" cy="89535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00"/>
    <outlinePr summaryBelow="0" summaryRight="0"/>
  </sheetPr>
  <dimension ref="A1:AM1055"/>
  <sheetViews>
    <sheetView showGridLines="0" tabSelected="1" workbookViewId="0">
      <selection sqref="A1:A7"/>
    </sheetView>
  </sheetViews>
  <sheetFormatPr defaultColWidth="12.5703125" defaultRowHeight="15" customHeight="1" outlineLevelRow="1" x14ac:dyDescent="0.2"/>
  <cols>
    <col min="1" max="1" width="49.140625" customWidth="1"/>
    <col min="2" max="4" width="10.85546875" customWidth="1"/>
    <col min="5" max="10" width="6.85546875" customWidth="1"/>
    <col min="11" max="11" width="6.7109375" customWidth="1"/>
    <col min="12" max="14" width="7.42578125" customWidth="1"/>
    <col min="15" max="15" width="10.42578125" customWidth="1"/>
    <col min="16" max="16" width="21.28515625" customWidth="1"/>
    <col min="17" max="19" width="10.28515625" customWidth="1"/>
    <col min="20" max="39" width="6.85546875" customWidth="1"/>
  </cols>
  <sheetData>
    <row r="1" spans="1:39" ht="15.75" customHeight="1" x14ac:dyDescent="0.2">
      <c r="A1" s="146"/>
      <c r="B1" s="5"/>
      <c r="C1" s="5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5"/>
      <c r="T1" s="5"/>
      <c r="U1" s="148" t="s">
        <v>453</v>
      </c>
      <c r="V1" s="118"/>
      <c r="W1" s="118"/>
      <c r="X1" s="118"/>
      <c r="Y1" s="118"/>
      <c r="Z1" s="114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</row>
    <row r="2" spans="1:39" ht="15.75" customHeight="1" x14ac:dyDescent="0.2">
      <c r="A2" s="118"/>
      <c r="B2" s="5"/>
      <c r="C2" s="5"/>
      <c r="D2" s="147" t="s">
        <v>454</v>
      </c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5"/>
      <c r="T2" s="5"/>
      <c r="U2" s="118"/>
      <c r="V2" s="118"/>
      <c r="W2" s="118"/>
      <c r="X2" s="118"/>
      <c r="Y2" s="118"/>
      <c r="Z2" s="114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</row>
    <row r="3" spans="1:39" ht="15.75" customHeight="1" x14ac:dyDescent="0.2">
      <c r="A3" s="118"/>
      <c r="B3" s="5"/>
      <c r="C3" s="5"/>
      <c r="D3" s="147" t="s">
        <v>455</v>
      </c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5"/>
      <c r="T3" s="5"/>
      <c r="U3" s="118"/>
      <c r="V3" s="118"/>
      <c r="W3" s="118"/>
      <c r="X3" s="118"/>
      <c r="Y3" s="118"/>
      <c r="Z3" s="114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</row>
    <row r="4" spans="1:39" ht="15.75" customHeight="1" x14ac:dyDescent="0.2">
      <c r="A4" s="118"/>
      <c r="B4" s="5"/>
      <c r="C4" s="5"/>
      <c r="D4" s="147" t="s">
        <v>456</v>
      </c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5"/>
      <c r="T4" s="5"/>
      <c r="U4" s="118"/>
      <c r="V4" s="118"/>
      <c r="W4" s="118"/>
      <c r="X4" s="118"/>
      <c r="Y4" s="118"/>
      <c r="Z4" s="114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</row>
    <row r="5" spans="1:39" ht="15.75" customHeight="1" x14ac:dyDescent="0.2">
      <c r="A5" s="118"/>
      <c r="B5" s="5"/>
      <c r="C5" s="5"/>
      <c r="D5" s="147" t="s">
        <v>457</v>
      </c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5"/>
      <c r="T5" s="5"/>
      <c r="U5" s="118"/>
      <c r="V5" s="118"/>
      <c r="W5" s="118"/>
      <c r="X5" s="118"/>
      <c r="Y5" s="118"/>
      <c r="Z5" s="114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</row>
    <row r="6" spans="1:39" ht="15.75" customHeight="1" x14ac:dyDescent="0.2">
      <c r="A6" s="118"/>
      <c r="B6" s="5"/>
      <c r="C6" s="5"/>
      <c r="D6" s="146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5"/>
      <c r="T6" s="5"/>
      <c r="U6" s="118"/>
      <c r="V6" s="118"/>
      <c r="W6" s="118"/>
      <c r="X6" s="118"/>
      <c r="Y6" s="118"/>
      <c r="Z6" s="114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</row>
    <row r="7" spans="1:39" ht="15.75" customHeight="1" x14ac:dyDescent="0.2">
      <c r="A7" s="118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118"/>
      <c r="V7" s="118"/>
      <c r="W7" s="118"/>
      <c r="X7" s="118"/>
      <c r="Y7" s="118"/>
      <c r="Z7" s="114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</row>
    <row r="8" spans="1:39" ht="15.75" customHeight="1" x14ac:dyDescent="0.2">
      <c r="A8" s="149" t="s">
        <v>210</v>
      </c>
      <c r="B8" s="150"/>
      <c r="C8" s="150"/>
      <c r="D8" s="150"/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0"/>
      <c r="Q8" s="150"/>
      <c r="R8" s="150"/>
      <c r="S8" s="150"/>
      <c r="T8" s="150"/>
      <c r="U8" s="150"/>
      <c r="V8" s="150"/>
      <c r="W8" s="150"/>
      <c r="X8" s="150"/>
      <c r="Y8" s="151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</row>
    <row r="9" spans="1:39" ht="15.75" customHeight="1" outlineLevel="1" x14ac:dyDescent="0.2">
      <c r="A9" s="152" t="s">
        <v>458</v>
      </c>
      <c r="B9" s="153"/>
      <c r="C9" s="153"/>
      <c r="D9" s="154"/>
      <c r="E9" s="158" t="s">
        <v>211</v>
      </c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30"/>
      <c r="Q9" s="159" t="s">
        <v>212</v>
      </c>
      <c r="R9" s="153"/>
      <c r="S9" s="153"/>
      <c r="T9" s="154"/>
      <c r="U9" s="159" t="s">
        <v>0</v>
      </c>
      <c r="V9" s="153"/>
      <c r="W9" s="153"/>
      <c r="X9" s="153"/>
      <c r="Y9" s="161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</row>
    <row r="10" spans="1:39" ht="15.75" customHeight="1" outlineLevel="1" x14ac:dyDescent="0.2">
      <c r="A10" s="155"/>
      <c r="B10" s="156"/>
      <c r="C10" s="156"/>
      <c r="D10" s="157"/>
      <c r="E10" s="163" t="s">
        <v>213</v>
      </c>
      <c r="F10" s="129"/>
      <c r="G10" s="129"/>
      <c r="H10" s="130"/>
      <c r="I10" s="158" t="s">
        <v>214</v>
      </c>
      <c r="J10" s="129"/>
      <c r="K10" s="129"/>
      <c r="L10" s="130"/>
      <c r="M10" s="158" t="s">
        <v>215</v>
      </c>
      <c r="N10" s="129"/>
      <c r="O10" s="129"/>
      <c r="P10" s="130"/>
      <c r="Q10" s="160"/>
      <c r="R10" s="156"/>
      <c r="S10" s="156"/>
      <c r="T10" s="157"/>
      <c r="U10" s="160"/>
      <c r="V10" s="156"/>
      <c r="W10" s="156"/>
      <c r="X10" s="156"/>
      <c r="Y10" s="162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</row>
    <row r="11" spans="1:39" ht="15.75" customHeight="1" outlineLevel="1" x14ac:dyDescent="0.2">
      <c r="A11" s="164" t="s">
        <v>5</v>
      </c>
      <c r="B11" s="118"/>
      <c r="C11" s="118"/>
      <c r="D11" s="136"/>
      <c r="E11" s="143"/>
      <c r="F11" s="118"/>
      <c r="G11" s="118"/>
      <c r="H11" s="136"/>
      <c r="I11" s="143"/>
      <c r="J11" s="118"/>
      <c r="K11" s="118"/>
      <c r="L11" s="136"/>
      <c r="M11" s="143"/>
      <c r="N11" s="118"/>
      <c r="O11" s="118"/>
      <c r="P11" s="136"/>
      <c r="Q11" s="143"/>
      <c r="R11" s="118"/>
      <c r="S11" s="118"/>
      <c r="T11" s="136"/>
      <c r="U11" s="143"/>
      <c r="V11" s="118"/>
      <c r="W11" s="118"/>
      <c r="X11" s="118"/>
      <c r="Y11" s="141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</row>
    <row r="12" spans="1:39" ht="15.75" customHeight="1" outlineLevel="1" x14ac:dyDescent="0.2">
      <c r="A12" s="165" t="s">
        <v>459</v>
      </c>
      <c r="B12" s="159" t="s">
        <v>460</v>
      </c>
      <c r="C12" s="153"/>
      <c r="D12" s="153"/>
      <c r="E12" s="154"/>
      <c r="F12" s="158" t="s">
        <v>216</v>
      </c>
      <c r="G12" s="129"/>
      <c r="H12" s="129"/>
      <c r="I12" s="129"/>
      <c r="J12" s="129"/>
      <c r="K12" s="129"/>
      <c r="L12" s="129"/>
      <c r="M12" s="130"/>
      <c r="N12" s="159" t="s">
        <v>461</v>
      </c>
      <c r="O12" s="153"/>
      <c r="P12" s="153"/>
      <c r="Q12" s="154"/>
      <c r="R12" s="159" t="s">
        <v>462</v>
      </c>
      <c r="S12" s="153"/>
      <c r="T12" s="153"/>
      <c r="U12" s="154"/>
      <c r="V12" s="159" t="s">
        <v>463</v>
      </c>
      <c r="W12" s="153"/>
      <c r="X12" s="153"/>
      <c r="Y12" s="161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</row>
    <row r="13" spans="1:39" ht="15.75" customHeight="1" outlineLevel="1" x14ac:dyDescent="0.2">
      <c r="A13" s="166"/>
      <c r="B13" s="160"/>
      <c r="C13" s="156"/>
      <c r="D13" s="156"/>
      <c r="E13" s="157"/>
      <c r="F13" s="158" t="s">
        <v>217</v>
      </c>
      <c r="G13" s="129"/>
      <c r="H13" s="129"/>
      <c r="I13" s="130"/>
      <c r="J13" s="158" t="s">
        <v>218</v>
      </c>
      <c r="K13" s="129"/>
      <c r="L13" s="129"/>
      <c r="M13" s="130"/>
      <c r="N13" s="160"/>
      <c r="O13" s="156"/>
      <c r="P13" s="156"/>
      <c r="Q13" s="157"/>
      <c r="R13" s="160"/>
      <c r="S13" s="156"/>
      <c r="T13" s="156"/>
      <c r="U13" s="157"/>
      <c r="V13" s="160"/>
      <c r="W13" s="156"/>
      <c r="X13" s="156"/>
      <c r="Y13" s="162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</row>
    <row r="14" spans="1:39" ht="15.75" customHeight="1" outlineLevel="1" x14ac:dyDescent="0.2">
      <c r="A14" s="166"/>
      <c r="B14" s="158" t="s">
        <v>211</v>
      </c>
      <c r="C14" s="129"/>
      <c r="D14" s="130"/>
      <c r="E14" s="168" t="s">
        <v>1</v>
      </c>
      <c r="F14" s="158" t="s">
        <v>211</v>
      </c>
      <c r="G14" s="129"/>
      <c r="H14" s="130"/>
      <c r="I14" s="168" t="s">
        <v>1</v>
      </c>
      <c r="J14" s="158" t="s">
        <v>211</v>
      </c>
      <c r="K14" s="129"/>
      <c r="L14" s="130"/>
      <c r="M14" s="168" t="s">
        <v>1</v>
      </c>
      <c r="N14" s="158" t="s">
        <v>211</v>
      </c>
      <c r="O14" s="129"/>
      <c r="P14" s="130"/>
      <c r="Q14" s="168" t="s">
        <v>1</v>
      </c>
      <c r="R14" s="158" t="s">
        <v>211</v>
      </c>
      <c r="S14" s="129"/>
      <c r="T14" s="130"/>
      <c r="U14" s="168" t="s">
        <v>1</v>
      </c>
      <c r="V14" s="158" t="s">
        <v>211</v>
      </c>
      <c r="W14" s="129"/>
      <c r="X14" s="130"/>
      <c r="Y14" s="169" t="s">
        <v>1</v>
      </c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</row>
    <row r="15" spans="1:39" ht="15.75" customHeight="1" outlineLevel="1" x14ac:dyDescent="0.2">
      <c r="A15" s="167"/>
      <c r="B15" s="15" t="s">
        <v>2</v>
      </c>
      <c r="C15" s="14" t="s">
        <v>3</v>
      </c>
      <c r="D15" s="14" t="s">
        <v>4</v>
      </c>
      <c r="E15" s="128"/>
      <c r="F15" s="15" t="s">
        <v>2</v>
      </c>
      <c r="G15" s="14" t="s">
        <v>3</v>
      </c>
      <c r="H15" s="14" t="s">
        <v>4</v>
      </c>
      <c r="I15" s="128"/>
      <c r="J15" s="15" t="s">
        <v>2</v>
      </c>
      <c r="K15" s="14" t="s">
        <v>3</v>
      </c>
      <c r="L15" s="14" t="s">
        <v>4</v>
      </c>
      <c r="M15" s="128"/>
      <c r="N15" s="15" t="s">
        <v>2</v>
      </c>
      <c r="O15" s="14" t="s">
        <v>3</v>
      </c>
      <c r="P15" s="14" t="s">
        <v>4</v>
      </c>
      <c r="Q15" s="128"/>
      <c r="R15" s="15" t="s">
        <v>2</v>
      </c>
      <c r="S15" s="14" t="s">
        <v>3</v>
      </c>
      <c r="T15" s="14" t="s">
        <v>4</v>
      </c>
      <c r="U15" s="128"/>
      <c r="V15" s="15" t="s">
        <v>2</v>
      </c>
      <c r="W15" s="14" t="s">
        <v>3</v>
      </c>
      <c r="X15" s="14" t="s">
        <v>4</v>
      </c>
      <c r="Y15" s="170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</row>
    <row r="16" spans="1:39" ht="15.75" customHeight="1" outlineLevel="1" x14ac:dyDescent="0.2">
      <c r="A16" s="16" t="s">
        <v>19</v>
      </c>
      <c r="B16" s="17"/>
      <c r="C16" s="17"/>
      <c r="D16" s="17"/>
      <c r="E16" s="18"/>
      <c r="F16" s="17"/>
      <c r="G16" s="17"/>
      <c r="H16" s="17"/>
      <c r="I16" s="18"/>
      <c r="J16" s="17"/>
      <c r="K16" s="17"/>
      <c r="L16" s="17"/>
      <c r="M16" s="18"/>
      <c r="N16" s="17"/>
      <c r="O16" s="17"/>
      <c r="P16" s="17"/>
      <c r="Q16" s="18"/>
      <c r="R16" s="17"/>
      <c r="S16" s="17"/>
      <c r="T16" s="17"/>
      <c r="U16" s="18"/>
      <c r="V16" s="17"/>
      <c r="W16" s="17"/>
      <c r="X16" s="17"/>
      <c r="Y16" s="19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</row>
    <row r="17" spans="1:39" ht="15.75" customHeight="1" outlineLevel="1" x14ac:dyDescent="0.2">
      <c r="A17" s="16" t="s">
        <v>20</v>
      </c>
      <c r="B17" s="17"/>
      <c r="C17" s="17"/>
      <c r="D17" s="17"/>
      <c r="E17" s="18"/>
      <c r="F17" s="17"/>
      <c r="G17" s="17"/>
      <c r="H17" s="17"/>
      <c r="I17" s="18"/>
      <c r="J17" s="17"/>
      <c r="K17" s="17"/>
      <c r="L17" s="17"/>
      <c r="M17" s="18"/>
      <c r="N17" s="17"/>
      <c r="O17" s="17"/>
      <c r="P17" s="17"/>
      <c r="Q17" s="18"/>
      <c r="R17" s="17"/>
      <c r="S17" s="17"/>
      <c r="T17" s="17"/>
      <c r="U17" s="18"/>
      <c r="V17" s="17"/>
      <c r="W17" s="17"/>
      <c r="X17" s="17"/>
      <c r="Y17" s="19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</row>
    <row r="18" spans="1:39" ht="15.75" customHeight="1" outlineLevel="1" x14ac:dyDescent="0.2">
      <c r="A18" s="16" t="s">
        <v>6</v>
      </c>
      <c r="B18" s="17"/>
      <c r="C18" s="17"/>
      <c r="D18" s="17"/>
      <c r="E18" s="18"/>
      <c r="F18" s="17"/>
      <c r="G18" s="17"/>
      <c r="H18" s="17"/>
      <c r="I18" s="18"/>
      <c r="J18" s="17"/>
      <c r="K18" s="17"/>
      <c r="L18" s="17"/>
      <c r="M18" s="18"/>
      <c r="N18" s="17"/>
      <c r="O18" s="17"/>
      <c r="P18" s="17"/>
      <c r="Q18" s="18"/>
      <c r="R18" s="17"/>
      <c r="S18" s="17"/>
      <c r="T18" s="17"/>
      <c r="U18" s="18"/>
      <c r="V18" s="17"/>
      <c r="W18" s="17"/>
      <c r="X18" s="17"/>
      <c r="Y18" s="19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</row>
    <row r="19" spans="1:39" ht="15.75" customHeight="1" outlineLevel="1" x14ac:dyDescent="0.2">
      <c r="A19" s="16" t="s">
        <v>7</v>
      </c>
      <c r="B19" s="17"/>
      <c r="C19" s="17"/>
      <c r="D19" s="17"/>
      <c r="E19" s="18"/>
      <c r="F19" s="17"/>
      <c r="G19" s="17"/>
      <c r="H19" s="17"/>
      <c r="I19" s="18"/>
      <c r="J19" s="17"/>
      <c r="K19" s="17"/>
      <c r="L19" s="17"/>
      <c r="M19" s="18"/>
      <c r="N19" s="17"/>
      <c r="O19" s="17"/>
      <c r="P19" s="17"/>
      <c r="Q19" s="18"/>
      <c r="R19" s="17"/>
      <c r="S19" s="17"/>
      <c r="T19" s="17"/>
      <c r="U19" s="18"/>
      <c r="V19" s="17"/>
      <c r="W19" s="17"/>
      <c r="X19" s="17"/>
      <c r="Y19" s="19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</row>
    <row r="20" spans="1:39" ht="15.75" customHeight="1" outlineLevel="1" x14ac:dyDescent="0.2">
      <c r="A20" s="16" t="s">
        <v>8</v>
      </c>
      <c r="B20" s="17"/>
      <c r="C20" s="17"/>
      <c r="D20" s="17"/>
      <c r="E20" s="18"/>
      <c r="F20" s="17"/>
      <c r="G20" s="17"/>
      <c r="H20" s="17"/>
      <c r="I20" s="18"/>
      <c r="J20" s="17"/>
      <c r="K20" s="17"/>
      <c r="L20" s="17"/>
      <c r="M20" s="18"/>
      <c r="N20" s="17"/>
      <c r="O20" s="17"/>
      <c r="P20" s="17"/>
      <c r="Q20" s="18"/>
      <c r="R20" s="17"/>
      <c r="S20" s="17"/>
      <c r="T20" s="17"/>
      <c r="U20" s="18"/>
      <c r="V20" s="17"/>
      <c r="W20" s="17"/>
      <c r="X20" s="17"/>
      <c r="Y20" s="19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</row>
    <row r="21" spans="1:39" ht="15.75" customHeight="1" outlineLevel="1" x14ac:dyDescent="0.2">
      <c r="A21" s="16" t="s">
        <v>9</v>
      </c>
      <c r="B21" s="17"/>
      <c r="C21" s="17"/>
      <c r="D21" s="17"/>
      <c r="E21" s="18"/>
      <c r="F21" s="17"/>
      <c r="G21" s="17"/>
      <c r="H21" s="17"/>
      <c r="I21" s="18"/>
      <c r="J21" s="17"/>
      <c r="K21" s="17"/>
      <c r="L21" s="17"/>
      <c r="M21" s="18"/>
      <c r="N21" s="17"/>
      <c r="O21" s="17"/>
      <c r="P21" s="17"/>
      <c r="Q21" s="18"/>
      <c r="R21" s="17"/>
      <c r="S21" s="17"/>
      <c r="T21" s="17"/>
      <c r="U21" s="18"/>
      <c r="V21" s="17"/>
      <c r="W21" s="17"/>
      <c r="X21" s="17"/>
      <c r="Y21" s="19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</row>
    <row r="22" spans="1:39" ht="15.75" customHeight="1" outlineLevel="1" x14ac:dyDescent="0.2">
      <c r="A22" s="20" t="s">
        <v>21</v>
      </c>
      <c r="B22" s="17"/>
      <c r="C22" s="17"/>
      <c r="D22" s="17"/>
      <c r="E22" s="18"/>
      <c r="F22" s="17"/>
      <c r="G22" s="17"/>
      <c r="H22" s="17"/>
      <c r="I22" s="18"/>
      <c r="J22" s="17"/>
      <c r="K22" s="17"/>
      <c r="L22" s="17"/>
      <c r="M22" s="18"/>
      <c r="N22" s="17"/>
      <c r="O22" s="17"/>
      <c r="P22" s="17"/>
      <c r="Q22" s="18"/>
      <c r="R22" s="17"/>
      <c r="S22" s="17"/>
      <c r="T22" s="17"/>
      <c r="U22" s="18"/>
      <c r="V22" s="17"/>
      <c r="W22" s="17"/>
      <c r="X22" s="17"/>
      <c r="Y22" s="19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</row>
    <row r="23" spans="1:39" ht="15.75" customHeight="1" outlineLevel="1" x14ac:dyDescent="0.2">
      <c r="A23" s="16" t="s">
        <v>10</v>
      </c>
      <c r="B23" s="17"/>
      <c r="C23" s="17"/>
      <c r="D23" s="17"/>
      <c r="E23" s="18"/>
      <c r="F23" s="17"/>
      <c r="G23" s="17"/>
      <c r="H23" s="17"/>
      <c r="I23" s="18"/>
      <c r="J23" s="17"/>
      <c r="K23" s="17"/>
      <c r="L23" s="17"/>
      <c r="M23" s="18"/>
      <c r="N23" s="17"/>
      <c r="O23" s="17"/>
      <c r="P23" s="17"/>
      <c r="Q23" s="18"/>
      <c r="R23" s="17"/>
      <c r="S23" s="17"/>
      <c r="T23" s="17"/>
      <c r="U23" s="18"/>
      <c r="V23" s="17"/>
      <c r="W23" s="17"/>
      <c r="X23" s="17"/>
      <c r="Y23" s="19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</row>
    <row r="24" spans="1:39" ht="15.75" customHeight="1" outlineLevel="1" x14ac:dyDescent="0.2">
      <c r="A24" s="21" t="s">
        <v>219</v>
      </c>
      <c r="B24" s="17"/>
      <c r="C24" s="17"/>
      <c r="D24" s="17"/>
      <c r="E24" s="18"/>
      <c r="F24" s="17"/>
      <c r="G24" s="17"/>
      <c r="H24" s="17"/>
      <c r="I24" s="18"/>
      <c r="J24" s="17"/>
      <c r="K24" s="17"/>
      <c r="L24" s="17"/>
      <c r="M24" s="18"/>
      <c r="N24" s="17"/>
      <c r="O24" s="17"/>
      <c r="P24" s="17"/>
      <c r="Q24" s="18"/>
      <c r="R24" s="17"/>
      <c r="S24" s="17"/>
      <c r="T24" s="17"/>
      <c r="U24" s="18"/>
      <c r="V24" s="17"/>
      <c r="W24" s="17"/>
      <c r="X24" s="17"/>
      <c r="Y24" s="19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</row>
    <row r="25" spans="1:39" ht="15.75" customHeight="1" outlineLevel="1" x14ac:dyDescent="0.2">
      <c r="A25" s="21" t="s">
        <v>220</v>
      </c>
      <c r="B25" s="17"/>
      <c r="C25" s="17"/>
      <c r="D25" s="17"/>
      <c r="E25" s="18"/>
      <c r="F25" s="17"/>
      <c r="G25" s="17"/>
      <c r="H25" s="17"/>
      <c r="I25" s="18"/>
      <c r="J25" s="17"/>
      <c r="K25" s="17"/>
      <c r="L25" s="17"/>
      <c r="M25" s="18"/>
      <c r="N25" s="17"/>
      <c r="O25" s="17"/>
      <c r="P25" s="17"/>
      <c r="Q25" s="18"/>
      <c r="R25" s="17"/>
      <c r="S25" s="17"/>
      <c r="T25" s="17"/>
      <c r="U25" s="18"/>
      <c r="V25" s="17"/>
      <c r="W25" s="17"/>
      <c r="X25" s="17"/>
      <c r="Y25" s="19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</row>
    <row r="26" spans="1:39" ht="15.75" customHeight="1" outlineLevel="1" x14ac:dyDescent="0.2">
      <c r="A26" s="16" t="s">
        <v>11</v>
      </c>
      <c r="B26" s="17"/>
      <c r="C26" s="17"/>
      <c r="D26" s="17"/>
      <c r="E26" s="18"/>
      <c r="F26" s="17"/>
      <c r="G26" s="17"/>
      <c r="H26" s="17"/>
      <c r="I26" s="18"/>
      <c r="J26" s="17"/>
      <c r="K26" s="17"/>
      <c r="L26" s="17"/>
      <c r="M26" s="18"/>
      <c r="N26" s="17"/>
      <c r="O26" s="17"/>
      <c r="P26" s="17"/>
      <c r="Q26" s="18"/>
      <c r="R26" s="17"/>
      <c r="S26" s="17"/>
      <c r="T26" s="17"/>
      <c r="U26" s="18"/>
      <c r="V26" s="17"/>
      <c r="W26" s="17"/>
      <c r="X26" s="17"/>
      <c r="Y26" s="19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</row>
    <row r="27" spans="1:39" ht="15.75" customHeight="1" outlineLevel="1" x14ac:dyDescent="0.2">
      <c r="A27" s="16" t="s">
        <v>12</v>
      </c>
      <c r="B27" s="17"/>
      <c r="C27" s="17"/>
      <c r="D27" s="17"/>
      <c r="E27" s="18"/>
      <c r="F27" s="17"/>
      <c r="G27" s="17"/>
      <c r="H27" s="17"/>
      <c r="I27" s="18"/>
      <c r="J27" s="17"/>
      <c r="K27" s="17"/>
      <c r="L27" s="17"/>
      <c r="M27" s="18"/>
      <c r="N27" s="17"/>
      <c r="O27" s="17"/>
      <c r="P27" s="17"/>
      <c r="Q27" s="18"/>
      <c r="R27" s="17"/>
      <c r="S27" s="17"/>
      <c r="T27" s="17"/>
      <c r="U27" s="18"/>
      <c r="V27" s="17"/>
      <c r="W27" s="17"/>
      <c r="X27" s="17"/>
      <c r="Y27" s="19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</row>
    <row r="28" spans="1:39" ht="15.75" customHeight="1" outlineLevel="1" x14ac:dyDescent="0.2">
      <c r="A28" s="16" t="s">
        <v>13</v>
      </c>
      <c r="B28" s="17"/>
      <c r="C28" s="17"/>
      <c r="D28" s="17"/>
      <c r="E28" s="18"/>
      <c r="F28" s="17"/>
      <c r="G28" s="17"/>
      <c r="H28" s="17"/>
      <c r="I28" s="18"/>
      <c r="J28" s="17"/>
      <c r="K28" s="17"/>
      <c r="L28" s="17"/>
      <c r="M28" s="18"/>
      <c r="N28" s="17"/>
      <c r="O28" s="17"/>
      <c r="P28" s="17"/>
      <c r="Q28" s="18"/>
      <c r="R28" s="17"/>
      <c r="S28" s="17"/>
      <c r="T28" s="17"/>
      <c r="U28" s="18"/>
      <c r="V28" s="17"/>
      <c r="W28" s="17"/>
      <c r="X28" s="17"/>
      <c r="Y28" s="19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</row>
    <row r="29" spans="1:39" ht="15.75" customHeight="1" outlineLevel="1" x14ac:dyDescent="0.2">
      <c r="A29" s="16" t="s">
        <v>14</v>
      </c>
      <c r="B29" s="17"/>
      <c r="C29" s="17"/>
      <c r="D29" s="17"/>
      <c r="E29" s="18"/>
      <c r="F29" s="17"/>
      <c r="G29" s="17"/>
      <c r="H29" s="17"/>
      <c r="I29" s="18"/>
      <c r="J29" s="17"/>
      <c r="K29" s="17"/>
      <c r="L29" s="17"/>
      <c r="M29" s="18"/>
      <c r="N29" s="17"/>
      <c r="O29" s="17"/>
      <c r="P29" s="17"/>
      <c r="Q29" s="18"/>
      <c r="R29" s="17"/>
      <c r="S29" s="17"/>
      <c r="T29" s="17"/>
      <c r="U29" s="18"/>
      <c r="V29" s="17"/>
      <c r="W29" s="17"/>
      <c r="X29" s="17"/>
      <c r="Y29" s="19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</row>
    <row r="30" spans="1:39" ht="15.75" customHeight="1" outlineLevel="1" x14ac:dyDescent="0.2">
      <c r="A30" s="16" t="s">
        <v>15</v>
      </c>
      <c r="B30" s="17"/>
      <c r="C30" s="17"/>
      <c r="D30" s="17"/>
      <c r="E30" s="18"/>
      <c r="F30" s="17"/>
      <c r="G30" s="17"/>
      <c r="H30" s="17"/>
      <c r="I30" s="18"/>
      <c r="J30" s="17"/>
      <c r="K30" s="17"/>
      <c r="L30" s="17"/>
      <c r="M30" s="18"/>
      <c r="N30" s="17"/>
      <c r="O30" s="17"/>
      <c r="P30" s="17"/>
      <c r="Q30" s="18"/>
      <c r="R30" s="17"/>
      <c r="S30" s="17"/>
      <c r="T30" s="17"/>
      <c r="U30" s="18"/>
      <c r="V30" s="17"/>
      <c r="W30" s="17"/>
      <c r="X30" s="17"/>
      <c r="Y30" s="19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</row>
    <row r="31" spans="1:39" ht="15.75" customHeight="1" outlineLevel="1" x14ac:dyDescent="0.2">
      <c r="A31" s="16" t="s">
        <v>16</v>
      </c>
      <c r="B31" s="17"/>
      <c r="C31" s="17"/>
      <c r="D31" s="17"/>
      <c r="E31" s="18"/>
      <c r="F31" s="17"/>
      <c r="G31" s="17"/>
      <c r="H31" s="17"/>
      <c r="I31" s="18"/>
      <c r="J31" s="17"/>
      <c r="K31" s="17"/>
      <c r="L31" s="17"/>
      <c r="M31" s="18"/>
      <c r="N31" s="17"/>
      <c r="O31" s="17"/>
      <c r="P31" s="17"/>
      <c r="Q31" s="18"/>
      <c r="R31" s="17"/>
      <c r="S31" s="17"/>
      <c r="T31" s="17"/>
      <c r="U31" s="18"/>
      <c r="V31" s="17"/>
      <c r="W31" s="17"/>
      <c r="X31" s="17"/>
      <c r="Y31" s="19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</row>
    <row r="32" spans="1:39" ht="15.75" customHeight="1" outlineLevel="1" x14ac:dyDescent="0.2">
      <c r="A32" s="16" t="s">
        <v>17</v>
      </c>
      <c r="B32" s="17"/>
      <c r="C32" s="17"/>
      <c r="D32" s="17"/>
      <c r="E32" s="18"/>
      <c r="F32" s="17"/>
      <c r="G32" s="17"/>
      <c r="H32" s="17"/>
      <c r="I32" s="18"/>
      <c r="J32" s="17"/>
      <c r="K32" s="17"/>
      <c r="L32" s="17"/>
      <c r="M32" s="18"/>
      <c r="N32" s="17"/>
      <c r="O32" s="17"/>
      <c r="P32" s="17"/>
      <c r="Q32" s="18"/>
      <c r="R32" s="17"/>
      <c r="S32" s="17"/>
      <c r="T32" s="17"/>
      <c r="U32" s="18"/>
      <c r="V32" s="17"/>
      <c r="W32" s="17"/>
      <c r="X32" s="17"/>
      <c r="Y32" s="19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</row>
    <row r="33" spans="1:39" ht="15.75" customHeight="1" outlineLevel="1" x14ac:dyDescent="0.2">
      <c r="A33" s="16" t="s">
        <v>18</v>
      </c>
      <c r="B33" s="17"/>
      <c r="C33" s="17"/>
      <c r="D33" s="17"/>
      <c r="E33" s="18"/>
      <c r="F33" s="17"/>
      <c r="G33" s="17"/>
      <c r="H33" s="17"/>
      <c r="I33" s="18"/>
      <c r="J33" s="17"/>
      <c r="K33" s="17"/>
      <c r="L33" s="17"/>
      <c r="M33" s="18"/>
      <c r="N33" s="17"/>
      <c r="O33" s="17"/>
      <c r="P33" s="17"/>
      <c r="Q33" s="18"/>
      <c r="R33" s="17"/>
      <c r="S33" s="17"/>
      <c r="T33" s="17"/>
      <c r="U33" s="18"/>
      <c r="V33" s="17"/>
      <c r="W33" s="17"/>
      <c r="X33" s="17"/>
      <c r="Y33" s="19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</row>
    <row r="34" spans="1:39" ht="15.75" customHeight="1" outlineLevel="1" x14ac:dyDescent="0.2">
      <c r="A34" s="22" t="s">
        <v>221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9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</row>
    <row r="35" spans="1:39" ht="15.75" customHeight="1" x14ac:dyDescent="0.2">
      <c r="A35" s="180" t="s">
        <v>222</v>
      </c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62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</row>
    <row r="36" spans="1:39" ht="15.75" customHeight="1" outlineLevel="1" x14ac:dyDescent="0.2">
      <c r="A36" s="165" t="s">
        <v>80</v>
      </c>
      <c r="B36" s="158" t="s">
        <v>211</v>
      </c>
      <c r="C36" s="129"/>
      <c r="D36" s="130"/>
      <c r="E36" s="159" t="s">
        <v>1</v>
      </c>
      <c r="F36" s="154"/>
      <c r="G36" s="179" t="s">
        <v>0</v>
      </c>
      <c r="H36" s="153"/>
      <c r="I36" s="153"/>
      <c r="J36" s="153"/>
      <c r="K36" s="154"/>
      <c r="L36" s="179" t="s">
        <v>80</v>
      </c>
      <c r="M36" s="153"/>
      <c r="N36" s="153"/>
      <c r="O36" s="153"/>
      <c r="P36" s="154"/>
      <c r="Q36" s="158" t="s">
        <v>211</v>
      </c>
      <c r="R36" s="129"/>
      <c r="S36" s="130"/>
      <c r="T36" s="159" t="s">
        <v>1</v>
      </c>
      <c r="U36" s="154"/>
      <c r="V36" s="179" t="s">
        <v>0</v>
      </c>
      <c r="W36" s="153"/>
      <c r="X36" s="153"/>
      <c r="Y36" s="161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</row>
    <row r="37" spans="1:39" ht="15.75" customHeight="1" outlineLevel="1" x14ac:dyDescent="0.2">
      <c r="A37" s="167"/>
      <c r="B37" s="23" t="s">
        <v>2</v>
      </c>
      <c r="C37" s="24" t="s">
        <v>3</v>
      </c>
      <c r="D37" s="24" t="s">
        <v>4</v>
      </c>
      <c r="E37" s="160"/>
      <c r="F37" s="157"/>
      <c r="G37" s="160"/>
      <c r="H37" s="156"/>
      <c r="I37" s="156"/>
      <c r="J37" s="156"/>
      <c r="K37" s="157"/>
      <c r="L37" s="160"/>
      <c r="M37" s="156"/>
      <c r="N37" s="156"/>
      <c r="O37" s="156"/>
      <c r="P37" s="157"/>
      <c r="Q37" s="23" t="s">
        <v>2</v>
      </c>
      <c r="R37" s="24" t="s">
        <v>3</v>
      </c>
      <c r="S37" s="24" t="s">
        <v>4</v>
      </c>
      <c r="T37" s="160"/>
      <c r="U37" s="157"/>
      <c r="V37" s="160"/>
      <c r="W37" s="156"/>
      <c r="X37" s="156"/>
      <c r="Y37" s="162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</row>
    <row r="38" spans="1:39" ht="15.75" customHeight="1" outlineLevel="1" x14ac:dyDescent="0.2">
      <c r="A38" s="139" t="s">
        <v>223</v>
      </c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38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</row>
    <row r="39" spans="1:39" ht="15.75" customHeight="1" outlineLevel="1" x14ac:dyDescent="0.2">
      <c r="A39" s="181" t="s">
        <v>464</v>
      </c>
      <c r="B39" s="122"/>
      <c r="C39" s="122"/>
      <c r="D39" s="122"/>
      <c r="E39" s="122"/>
      <c r="F39" s="122"/>
      <c r="G39" s="122"/>
      <c r="H39" s="122"/>
      <c r="I39" s="122"/>
      <c r="J39" s="122"/>
      <c r="K39" s="131"/>
      <c r="L39" s="174" t="s">
        <v>465</v>
      </c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40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</row>
    <row r="40" spans="1:39" ht="15.75" customHeight="1" outlineLevel="1" x14ac:dyDescent="0.2">
      <c r="A40" s="25" t="s">
        <v>224</v>
      </c>
      <c r="B40" s="26">
        <f t="shared" ref="B40:D40" si="0">SUM(B41:B42)</f>
        <v>0</v>
      </c>
      <c r="C40" s="26">
        <f t="shared" si="0"/>
        <v>0</v>
      </c>
      <c r="D40" s="26">
        <f t="shared" si="0"/>
        <v>0</v>
      </c>
      <c r="E40" s="178">
        <f t="shared" ref="E40:E46" si="1">SUM(B40:D40)</f>
        <v>0</v>
      </c>
      <c r="F40" s="121"/>
      <c r="G40" s="171"/>
      <c r="H40" s="120"/>
      <c r="I40" s="120"/>
      <c r="J40" s="120"/>
      <c r="K40" s="121"/>
      <c r="L40" s="172" t="s">
        <v>466</v>
      </c>
      <c r="M40" s="120"/>
      <c r="N40" s="120"/>
      <c r="O40" s="120"/>
      <c r="P40" s="121"/>
      <c r="Q40" s="17"/>
      <c r="R40" s="17"/>
      <c r="S40" s="17"/>
      <c r="T40" s="175">
        <f t="shared" ref="T40:T42" si="2">SUM(Q40:S40)</f>
        <v>0</v>
      </c>
      <c r="U40" s="121"/>
      <c r="V40" s="171"/>
      <c r="W40" s="120"/>
      <c r="X40" s="120"/>
      <c r="Y40" s="140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</row>
    <row r="41" spans="1:39" ht="15.75" customHeight="1" outlineLevel="1" x14ac:dyDescent="0.2">
      <c r="A41" s="20" t="s">
        <v>467</v>
      </c>
      <c r="B41" s="11"/>
      <c r="C41" s="17"/>
      <c r="D41" s="17"/>
      <c r="E41" s="173">
        <f t="shared" si="1"/>
        <v>0</v>
      </c>
      <c r="F41" s="121"/>
      <c r="G41" s="171"/>
      <c r="H41" s="120"/>
      <c r="I41" s="120"/>
      <c r="J41" s="120"/>
      <c r="K41" s="121"/>
      <c r="L41" s="172" t="s">
        <v>468</v>
      </c>
      <c r="M41" s="120"/>
      <c r="N41" s="120"/>
      <c r="O41" s="120"/>
      <c r="P41" s="121"/>
      <c r="Q41" s="17"/>
      <c r="R41" s="17"/>
      <c r="S41" s="17"/>
      <c r="T41" s="175">
        <f t="shared" si="2"/>
        <v>0</v>
      </c>
      <c r="U41" s="121"/>
      <c r="V41" s="171"/>
      <c r="W41" s="120"/>
      <c r="X41" s="120"/>
      <c r="Y41" s="140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</row>
    <row r="42" spans="1:39" ht="15.75" customHeight="1" outlineLevel="1" x14ac:dyDescent="0.2">
      <c r="A42" s="27" t="s">
        <v>469</v>
      </c>
      <c r="B42" s="11"/>
      <c r="C42" s="17"/>
      <c r="D42" s="17"/>
      <c r="E42" s="173">
        <f t="shared" si="1"/>
        <v>0</v>
      </c>
      <c r="F42" s="121"/>
      <c r="G42" s="171"/>
      <c r="H42" s="120"/>
      <c r="I42" s="120"/>
      <c r="J42" s="120"/>
      <c r="K42" s="121"/>
      <c r="L42" s="172" t="s">
        <v>470</v>
      </c>
      <c r="M42" s="120"/>
      <c r="N42" s="120"/>
      <c r="O42" s="120"/>
      <c r="P42" s="121"/>
      <c r="Q42" s="17"/>
      <c r="R42" s="17"/>
      <c r="S42" s="17"/>
      <c r="T42" s="175">
        <f t="shared" si="2"/>
        <v>0</v>
      </c>
      <c r="U42" s="121"/>
      <c r="V42" s="171"/>
      <c r="W42" s="120"/>
      <c r="X42" s="120"/>
      <c r="Y42" s="140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</row>
    <row r="43" spans="1:39" ht="15.75" customHeight="1" outlineLevel="1" x14ac:dyDescent="0.2">
      <c r="A43" s="25" t="s">
        <v>225</v>
      </c>
      <c r="B43" s="26">
        <f t="shared" ref="B43:D43" si="3">SUM(B44:B45)</f>
        <v>0</v>
      </c>
      <c r="C43" s="26">
        <f t="shared" si="3"/>
        <v>0</v>
      </c>
      <c r="D43" s="26">
        <f t="shared" si="3"/>
        <v>0</v>
      </c>
      <c r="E43" s="173">
        <f t="shared" si="1"/>
        <v>0</v>
      </c>
      <c r="F43" s="121"/>
      <c r="G43" s="171"/>
      <c r="H43" s="120"/>
      <c r="I43" s="120"/>
      <c r="J43" s="120"/>
      <c r="K43" s="121"/>
      <c r="L43" s="174" t="s">
        <v>471</v>
      </c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40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</row>
    <row r="44" spans="1:39" ht="15.75" customHeight="1" outlineLevel="1" x14ac:dyDescent="0.2">
      <c r="A44" s="27" t="s">
        <v>472</v>
      </c>
      <c r="B44" s="11"/>
      <c r="C44" s="28"/>
      <c r="D44" s="28"/>
      <c r="E44" s="173">
        <f t="shared" si="1"/>
        <v>0</v>
      </c>
      <c r="F44" s="121"/>
      <c r="G44" s="171"/>
      <c r="H44" s="120"/>
      <c r="I44" s="120"/>
      <c r="J44" s="120"/>
      <c r="K44" s="121"/>
      <c r="L44" s="172" t="s">
        <v>473</v>
      </c>
      <c r="M44" s="120"/>
      <c r="N44" s="120"/>
      <c r="O44" s="120"/>
      <c r="P44" s="121"/>
      <c r="Q44" s="17"/>
      <c r="R44" s="17"/>
      <c r="S44" s="17"/>
      <c r="T44" s="175">
        <f t="shared" ref="T44:T45" si="4">SUM(Q44:S44)</f>
        <v>0</v>
      </c>
      <c r="U44" s="121"/>
      <c r="V44" s="171"/>
      <c r="W44" s="120"/>
      <c r="X44" s="120"/>
      <c r="Y44" s="140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</row>
    <row r="45" spans="1:39" ht="15.75" customHeight="1" outlineLevel="1" x14ac:dyDescent="0.2">
      <c r="A45" s="20" t="s">
        <v>474</v>
      </c>
      <c r="B45" s="11"/>
      <c r="C45" s="28"/>
      <c r="D45" s="28"/>
      <c r="E45" s="173">
        <f t="shared" si="1"/>
        <v>0</v>
      </c>
      <c r="F45" s="121"/>
      <c r="G45" s="171"/>
      <c r="H45" s="120"/>
      <c r="I45" s="120"/>
      <c r="J45" s="120"/>
      <c r="K45" s="121"/>
      <c r="L45" s="172" t="s">
        <v>475</v>
      </c>
      <c r="M45" s="120"/>
      <c r="N45" s="120"/>
      <c r="O45" s="120"/>
      <c r="P45" s="121"/>
      <c r="Q45" s="17"/>
      <c r="R45" s="17"/>
      <c r="S45" s="17"/>
      <c r="T45" s="175">
        <f t="shared" si="4"/>
        <v>0</v>
      </c>
      <c r="U45" s="121"/>
      <c r="V45" s="171"/>
      <c r="W45" s="120"/>
      <c r="X45" s="120"/>
      <c r="Y45" s="140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</row>
    <row r="46" spans="1:39" ht="15.75" customHeight="1" outlineLevel="1" x14ac:dyDescent="0.2">
      <c r="A46" s="20" t="s">
        <v>476</v>
      </c>
      <c r="B46" s="11"/>
      <c r="C46" s="28"/>
      <c r="D46" s="28"/>
      <c r="E46" s="173">
        <f t="shared" si="1"/>
        <v>0</v>
      </c>
      <c r="F46" s="121"/>
      <c r="G46" s="171"/>
      <c r="H46" s="120"/>
      <c r="I46" s="120"/>
      <c r="J46" s="120"/>
      <c r="K46" s="121"/>
      <c r="L46" s="174" t="s">
        <v>477</v>
      </c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40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</row>
    <row r="47" spans="1:39" ht="15.75" customHeight="1" outlineLevel="1" x14ac:dyDescent="0.2">
      <c r="A47" s="177" t="s">
        <v>478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1"/>
      <c r="L47" s="172" t="s">
        <v>479</v>
      </c>
      <c r="M47" s="120"/>
      <c r="N47" s="120"/>
      <c r="O47" s="120"/>
      <c r="P47" s="121"/>
      <c r="Q47" s="17"/>
      <c r="R47" s="17"/>
      <c r="S47" s="17"/>
      <c r="T47" s="175">
        <f t="shared" ref="T47:T48" si="5">SUM(Q47:S47)</f>
        <v>0</v>
      </c>
      <c r="U47" s="121"/>
      <c r="V47" s="171"/>
      <c r="W47" s="120"/>
      <c r="X47" s="120"/>
      <c r="Y47" s="140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</row>
    <row r="48" spans="1:39" ht="15.75" customHeight="1" outlineLevel="1" x14ac:dyDescent="0.2">
      <c r="A48" s="20" t="s">
        <v>226</v>
      </c>
      <c r="B48" s="28"/>
      <c r="C48" s="28"/>
      <c r="D48" s="28"/>
      <c r="E48" s="178">
        <f t="shared" ref="E48:E50" si="6">SUM(B48:D48)</f>
        <v>0</v>
      </c>
      <c r="F48" s="121"/>
      <c r="G48" s="171"/>
      <c r="H48" s="120"/>
      <c r="I48" s="120"/>
      <c r="J48" s="120"/>
      <c r="K48" s="121"/>
      <c r="L48" s="176" t="s">
        <v>480</v>
      </c>
      <c r="M48" s="127"/>
      <c r="N48" s="127"/>
      <c r="O48" s="127"/>
      <c r="P48" s="126"/>
      <c r="Q48" s="17"/>
      <c r="R48" s="17"/>
      <c r="S48" s="17"/>
      <c r="T48" s="175">
        <f t="shared" si="5"/>
        <v>0</v>
      </c>
      <c r="U48" s="121"/>
      <c r="V48" s="171"/>
      <c r="W48" s="120"/>
      <c r="X48" s="120"/>
      <c r="Y48" s="140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</row>
    <row r="49" spans="1:39" ht="15.75" customHeight="1" outlineLevel="1" x14ac:dyDescent="0.2">
      <c r="A49" s="20" t="s">
        <v>227</v>
      </c>
      <c r="B49" s="17"/>
      <c r="C49" s="17"/>
      <c r="D49" s="17"/>
      <c r="E49" s="178">
        <f t="shared" si="6"/>
        <v>0</v>
      </c>
      <c r="F49" s="121"/>
      <c r="G49" s="171"/>
      <c r="H49" s="120"/>
      <c r="I49" s="120"/>
      <c r="J49" s="120"/>
      <c r="K49" s="121"/>
      <c r="L49" s="174" t="s">
        <v>481</v>
      </c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40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</row>
    <row r="50" spans="1:39" ht="15.75" customHeight="1" outlineLevel="1" x14ac:dyDescent="0.2">
      <c r="A50" s="20" t="s">
        <v>228</v>
      </c>
      <c r="B50" s="17"/>
      <c r="C50" s="17"/>
      <c r="D50" s="17"/>
      <c r="E50" s="178">
        <f t="shared" si="6"/>
        <v>0</v>
      </c>
      <c r="F50" s="121"/>
      <c r="G50" s="123"/>
      <c r="H50" s="127"/>
      <c r="I50" s="127"/>
      <c r="J50" s="127"/>
      <c r="K50" s="126"/>
      <c r="L50" s="172" t="s">
        <v>229</v>
      </c>
      <c r="M50" s="120"/>
      <c r="N50" s="120"/>
      <c r="O50" s="120"/>
      <c r="P50" s="121"/>
      <c r="Q50" s="17"/>
      <c r="R50" s="17"/>
      <c r="S50" s="17"/>
      <c r="T50" s="175">
        <f>SUM(Q50:S50)</f>
        <v>0</v>
      </c>
      <c r="U50" s="121"/>
      <c r="V50" s="171"/>
      <c r="W50" s="120"/>
      <c r="X50" s="120"/>
      <c r="Y50" s="140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</row>
    <row r="51" spans="1:39" ht="15.75" customHeight="1" outlineLevel="1" x14ac:dyDescent="0.2">
      <c r="A51" s="177" t="s">
        <v>482</v>
      </c>
      <c r="B51" s="120"/>
      <c r="C51" s="120"/>
      <c r="D51" s="120"/>
      <c r="E51" s="120"/>
      <c r="F51" s="120"/>
      <c r="G51" s="120"/>
      <c r="H51" s="120"/>
      <c r="I51" s="120"/>
      <c r="J51" s="120"/>
      <c r="K51" s="121"/>
      <c r="L51" s="174" t="s">
        <v>483</v>
      </c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40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</row>
    <row r="52" spans="1:39" ht="15.75" customHeight="1" outlineLevel="1" x14ac:dyDescent="0.2">
      <c r="A52" s="20" t="s">
        <v>230</v>
      </c>
      <c r="B52" s="17"/>
      <c r="C52" s="17"/>
      <c r="D52" s="17"/>
      <c r="E52" s="178">
        <f>SUM(B52:D52)</f>
        <v>0</v>
      </c>
      <c r="F52" s="121"/>
      <c r="G52" s="123"/>
      <c r="H52" s="127"/>
      <c r="I52" s="127"/>
      <c r="J52" s="127"/>
      <c r="K52" s="126"/>
      <c r="L52" s="172" t="s">
        <v>231</v>
      </c>
      <c r="M52" s="120"/>
      <c r="N52" s="120"/>
      <c r="O52" s="120"/>
      <c r="P52" s="121"/>
      <c r="Q52" s="17"/>
      <c r="R52" s="17"/>
      <c r="S52" s="17"/>
      <c r="T52" s="175">
        <f t="shared" ref="T52:T54" si="7">SUM(Q52:S52)</f>
        <v>0</v>
      </c>
      <c r="U52" s="121"/>
      <c r="V52" s="171"/>
      <c r="W52" s="120"/>
      <c r="X52" s="120"/>
      <c r="Y52" s="140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</row>
    <row r="53" spans="1:39" ht="15.75" customHeight="1" outlineLevel="1" x14ac:dyDescent="0.2">
      <c r="A53" s="182" t="s">
        <v>232</v>
      </c>
      <c r="B53" s="125"/>
      <c r="C53" s="125"/>
      <c r="D53" s="125"/>
      <c r="E53" s="183">
        <f>SUM(B54:D54)</f>
        <v>0</v>
      </c>
      <c r="F53" s="126"/>
      <c r="G53" s="123"/>
      <c r="H53" s="127"/>
      <c r="I53" s="127"/>
      <c r="J53" s="127"/>
      <c r="K53" s="126"/>
      <c r="L53" s="172" t="s">
        <v>233</v>
      </c>
      <c r="M53" s="120"/>
      <c r="N53" s="120"/>
      <c r="O53" s="120"/>
      <c r="P53" s="121"/>
      <c r="Q53" s="17"/>
      <c r="R53" s="17"/>
      <c r="S53" s="17"/>
      <c r="T53" s="175">
        <f t="shared" si="7"/>
        <v>0</v>
      </c>
      <c r="U53" s="121"/>
      <c r="V53" s="171"/>
      <c r="W53" s="120"/>
      <c r="X53" s="120"/>
      <c r="Y53" s="140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</row>
    <row r="54" spans="1:39" ht="15.75" customHeight="1" outlineLevel="1" x14ac:dyDescent="0.2">
      <c r="A54" s="134"/>
      <c r="B54" s="119"/>
      <c r="C54" s="119"/>
      <c r="D54" s="119"/>
      <c r="E54" s="124"/>
      <c r="F54" s="131"/>
      <c r="G54" s="133"/>
      <c r="H54" s="118"/>
      <c r="I54" s="118"/>
      <c r="J54" s="118"/>
      <c r="K54" s="136"/>
      <c r="L54" s="172" t="s">
        <v>234</v>
      </c>
      <c r="M54" s="120"/>
      <c r="N54" s="120"/>
      <c r="O54" s="120"/>
      <c r="P54" s="121"/>
      <c r="Q54" s="17"/>
      <c r="R54" s="17"/>
      <c r="S54" s="17"/>
      <c r="T54" s="175">
        <f t="shared" si="7"/>
        <v>0</v>
      </c>
      <c r="U54" s="121"/>
      <c r="V54" s="171"/>
      <c r="W54" s="120"/>
      <c r="X54" s="120"/>
      <c r="Y54" s="140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</row>
    <row r="55" spans="1:39" ht="15.75" customHeight="1" outlineLevel="1" x14ac:dyDescent="0.2">
      <c r="A55" s="184" t="s">
        <v>80</v>
      </c>
      <c r="B55" s="158" t="s">
        <v>211</v>
      </c>
      <c r="C55" s="129"/>
      <c r="D55" s="130"/>
      <c r="E55" s="159" t="s">
        <v>1</v>
      </c>
      <c r="F55" s="154"/>
      <c r="G55" s="179" t="s">
        <v>0</v>
      </c>
      <c r="H55" s="153"/>
      <c r="I55" s="153"/>
      <c r="J55" s="153"/>
      <c r="K55" s="154"/>
      <c r="L55" s="188" t="s">
        <v>80</v>
      </c>
      <c r="M55" s="118"/>
      <c r="N55" s="118"/>
      <c r="O55" s="118"/>
      <c r="P55" s="187"/>
      <c r="Q55" s="185" t="s">
        <v>211</v>
      </c>
      <c r="R55" s="156"/>
      <c r="S55" s="157"/>
      <c r="T55" s="186" t="s">
        <v>1</v>
      </c>
      <c r="U55" s="187"/>
      <c r="V55" s="188" t="s">
        <v>0</v>
      </c>
      <c r="W55" s="118"/>
      <c r="X55" s="118"/>
      <c r="Y55" s="141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</row>
    <row r="56" spans="1:39" ht="15.75" customHeight="1" outlineLevel="1" x14ac:dyDescent="0.2">
      <c r="A56" s="167"/>
      <c r="B56" s="23" t="s">
        <v>2</v>
      </c>
      <c r="C56" s="24" t="s">
        <v>3</v>
      </c>
      <c r="D56" s="24" t="s">
        <v>4</v>
      </c>
      <c r="E56" s="160"/>
      <c r="F56" s="157"/>
      <c r="G56" s="160"/>
      <c r="H56" s="156"/>
      <c r="I56" s="156"/>
      <c r="J56" s="156"/>
      <c r="K56" s="157"/>
      <c r="L56" s="160"/>
      <c r="M56" s="156"/>
      <c r="N56" s="156"/>
      <c r="O56" s="156"/>
      <c r="P56" s="157"/>
      <c r="Q56" s="23" t="s">
        <v>2</v>
      </c>
      <c r="R56" s="24" t="s">
        <v>3</v>
      </c>
      <c r="S56" s="24" t="s">
        <v>4</v>
      </c>
      <c r="T56" s="160"/>
      <c r="U56" s="157"/>
      <c r="V56" s="160"/>
      <c r="W56" s="156"/>
      <c r="X56" s="156"/>
      <c r="Y56" s="162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</row>
    <row r="57" spans="1:39" ht="15.75" customHeight="1" outlineLevel="1" x14ac:dyDescent="0.2">
      <c r="A57" s="139" t="s">
        <v>235</v>
      </c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38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</row>
    <row r="58" spans="1:39" ht="15.75" customHeight="1" outlineLevel="1" x14ac:dyDescent="0.2">
      <c r="A58" s="30" t="s">
        <v>484</v>
      </c>
      <c r="B58" s="31"/>
      <c r="C58" s="31"/>
      <c r="D58" s="31"/>
      <c r="E58" s="173">
        <f t="shared" ref="E58:E69" si="8">SUM(B58:D58)</f>
        <v>0</v>
      </c>
      <c r="F58" s="121"/>
      <c r="G58" s="171"/>
      <c r="H58" s="120"/>
      <c r="I58" s="120"/>
      <c r="J58" s="120"/>
      <c r="K58" s="121"/>
      <c r="L58" s="189" t="s">
        <v>485</v>
      </c>
      <c r="M58" s="120"/>
      <c r="N58" s="120"/>
      <c r="O58" s="120"/>
      <c r="P58" s="121"/>
      <c r="Q58" s="26">
        <f t="shared" ref="Q58:S58" si="9">SUM(Q59:Q61)</f>
        <v>0</v>
      </c>
      <c r="R58" s="26">
        <f t="shared" si="9"/>
        <v>0</v>
      </c>
      <c r="S58" s="26">
        <f t="shared" si="9"/>
        <v>0</v>
      </c>
      <c r="T58" s="178">
        <f t="shared" ref="T58:T62" si="10">SUM(Q58:S58)</f>
        <v>0</v>
      </c>
      <c r="U58" s="121"/>
      <c r="V58" s="171"/>
      <c r="W58" s="120"/>
      <c r="X58" s="120"/>
      <c r="Y58" s="140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</row>
    <row r="59" spans="1:39" ht="15.75" customHeight="1" outlineLevel="1" x14ac:dyDescent="0.2">
      <c r="A59" s="32" t="s">
        <v>486</v>
      </c>
      <c r="B59" s="33">
        <f t="shared" ref="B59:D59" si="11">SUM(B60:B62)</f>
        <v>0</v>
      </c>
      <c r="C59" s="33">
        <f t="shared" si="11"/>
        <v>0</v>
      </c>
      <c r="D59" s="33">
        <f t="shared" si="11"/>
        <v>0</v>
      </c>
      <c r="E59" s="178">
        <f t="shared" si="8"/>
        <v>0</v>
      </c>
      <c r="F59" s="121"/>
      <c r="G59" s="171"/>
      <c r="H59" s="120"/>
      <c r="I59" s="120"/>
      <c r="J59" s="120"/>
      <c r="K59" s="121"/>
      <c r="L59" s="190" t="s">
        <v>487</v>
      </c>
      <c r="M59" s="120"/>
      <c r="N59" s="120"/>
      <c r="O59" s="120"/>
      <c r="P59" s="121"/>
      <c r="Q59" s="17"/>
      <c r="R59" s="17"/>
      <c r="S59" s="17"/>
      <c r="T59" s="178">
        <f t="shared" si="10"/>
        <v>0</v>
      </c>
      <c r="U59" s="121"/>
      <c r="V59" s="171"/>
      <c r="W59" s="120"/>
      <c r="X59" s="120"/>
      <c r="Y59" s="140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</row>
    <row r="60" spans="1:39" ht="15.75" customHeight="1" outlineLevel="1" x14ac:dyDescent="0.2">
      <c r="A60" s="20" t="s">
        <v>236</v>
      </c>
      <c r="B60" s="34"/>
      <c r="C60" s="35"/>
      <c r="D60" s="34"/>
      <c r="E60" s="178">
        <f t="shared" si="8"/>
        <v>0</v>
      </c>
      <c r="F60" s="121"/>
      <c r="G60" s="171"/>
      <c r="H60" s="120"/>
      <c r="I60" s="120"/>
      <c r="J60" s="120"/>
      <c r="K60" s="121"/>
      <c r="L60" s="190" t="s">
        <v>488</v>
      </c>
      <c r="M60" s="120"/>
      <c r="N60" s="120"/>
      <c r="O60" s="120"/>
      <c r="P60" s="121"/>
      <c r="Q60" s="17"/>
      <c r="R60" s="17"/>
      <c r="S60" s="17"/>
      <c r="T60" s="178">
        <f t="shared" si="10"/>
        <v>0</v>
      </c>
      <c r="U60" s="121"/>
      <c r="V60" s="171"/>
      <c r="W60" s="120"/>
      <c r="X60" s="120"/>
      <c r="Y60" s="140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</row>
    <row r="61" spans="1:39" ht="15.75" customHeight="1" outlineLevel="1" x14ac:dyDescent="0.2">
      <c r="A61" s="20" t="s">
        <v>237</v>
      </c>
      <c r="B61" s="17"/>
      <c r="C61" s="17"/>
      <c r="D61" s="17"/>
      <c r="E61" s="178">
        <f t="shared" si="8"/>
        <v>0</v>
      </c>
      <c r="F61" s="121"/>
      <c r="G61" s="171"/>
      <c r="H61" s="120"/>
      <c r="I61" s="120"/>
      <c r="J61" s="120"/>
      <c r="K61" s="121"/>
      <c r="L61" s="190" t="s">
        <v>489</v>
      </c>
      <c r="M61" s="120"/>
      <c r="N61" s="120"/>
      <c r="O61" s="120"/>
      <c r="P61" s="121"/>
      <c r="Q61" s="17"/>
      <c r="R61" s="17"/>
      <c r="S61" s="17"/>
      <c r="T61" s="178">
        <f t="shared" si="10"/>
        <v>0</v>
      </c>
      <c r="U61" s="121"/>
      <c r="V61" s="171"/>
      <c r="W61" s="120"/>
      <c r="X61" s="120"/>
      <c r="Y61" s="140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</row>
    <row r="62" spans="1:39" ht="15.75" customHeight="1" outlineLevel="1" x14ac:dyDescent="0.2">
      <c r="A62" s="20" t="s">
        <v>238</v>
      </c>
      <c r="B62" s="17"/>
      <c r="C62" s="17"/>
      <c r="D62" s="17"/>
      <c r="E62" s="178">
        <f t="shared" si="8"/>
        <v>0</v>
      </c>
      <c r="F62" s="121"/>
      <c r="G62" s="171"/>
      <c r="H62" s="120"/>
      <c r="I62" s="120"/>
      <c r="J62" s="120"/>
      <c r="K62" s="121"/>
      <c r="L62" s="196" t="s">
        <v>490</v>
      </c>
      <c r="M62" s="127"/>
      <c r="N62" s="127"/>
      <c r="O62" s="127"/>
      <c r="P62" s="126"/>
      <c r="Q62" s="17"/>
      <c r="R62" s="17"/>
      <c r="S62" s="17"/>
      <c r="T62" s="178">
        <f t="shared" si="10"/>
        <v>0</v>
      </c>
      <c r="U62" s="121"/>
      <c r="V62" s="171"/>
      <c r="W62" s="120"/>
      <c r="X62" s="120"/>
      <c r="Y62" s="140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</row>
    <row r="63" spans="1:39" ht="15.75" customHeight="1" outlineLevel="1" x14ac:dyDescent="0.2">
      <c r="A63" s="36" t="s">
        <v>491</v>
      </c>
      <c r="B63" s="26">
        <f t="shared" ref="B63:D63" si="12">SUM(B64:B65)</f>
        <v>0</v>
      </c>
      <c r="C63" s="26">
        <f t="shared" si="12"/>
        <v>0</v>
      </c>
      <c r="D63" s="26">
        <f t="shared" si="12"/>
        <v>0</v>
      </c>
      <c r="E63" s="178">
        <f t="shared" si="8"/>
        <v>0</v>
      </c>
      <c r="F63" s="121"/>
      <c r="G63" s="171"/>
      <c r="H63" s="120"/>
      <c r="I63" s="120"/>
      <c r="J63" s="120"/>
      <c r="K63" s="121"/>
      <c r="L63" s="197" t="s">
        <v>80</v>
      </c>
      <c r="M63" s="120"/>
      <c r="N63" s="120"/>
      <c r="O63" s="120"/>
      <c r="P63" s="121"/>
      <c r="Q63" s="37" t="s">
        <v>23</v>
      </c>
      <c r="R63" s="37" t="s">
        <v>24</v>
      </c>
      <c r="S63" s="197" t="s">
        <v>1</v>
      </c>
      <c r="T63" s="120"/>
      <c r="U63" s="121"/>
      <c r="V63" s="197" t="s">
        <v>0</v>
      </c>
      <c r="W63" s="120"/>
      <c r="X63" s="120"/>
      <c r="Y63" s="140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</row>
    <row r="64" spans="1:39" ht="52.5" outlineLevel="1" x14ac:dyDescent="0.2">
      <c r="A64" s="20" t="s">
        <v>492</v>
      </c>
      <c r="B64" s="6"/>
      <c r="C64" s="6"/>
      <c r="D64" s="6"/>
      <c r="E64" s="183">
        <f t="shared" si="8"/>
        <v>0</v>
      </c>
      <c r="F64" s="126"/>
      <c r="G64" s="171"/>
      <c r="H64" s="120"/>
      <c r="I64" s="120"/>
      <c r="J64" s="120"/>
      <c r="K64" s="121"/>
      <c r="L64" s="189" t="s">
        <v>493</v>
      </c>
      <c r="M64" s="120"/>
      <c r="N64" s="120"/>
      <c r="O64" s="120"/>
      <c r="P64" s="121"/>
      <c r="Q64" s="33">
        <f t="shared" ref="Q64:R64" si="13">SUM(Q65:Q67)</f>
        <v>0</v>
      </c>
      <c r="R64" s="33">
        <f t="shared" si="13"/>
        <v>0</v>
      </c>
      <c r="S64" s="178">
        <f>SUM(S65:U67)</f>
        <v>0</v>
      </c>
      <c r="T64" s="120"/>
      <c r="U64" s="121"/>
      <c r="V64" s="171"/>
      <c r="W64" s="120"/>
      <c r="X64" s="120"/>
      <c r="Y64" s="140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</row>
    <row r="65" spans="1:39" ht="15.75" customHeight="1" outlineLevel="1" x14ac:dyDescent="0.2">
      <c r="A65" s="20" t="s">
        <v>494</v>
      </c>
      <c r="B65" s="6"/>
      <c r="C65" s="6"/>
      <c r="D65" s="6"/>
      <c r="E65" s="183">
        <f t="shared" si="8"/>
        <v>0</v>
      </c>
      <c r="F65" s="126"/>
      <c r="G65" s="171"/>
      <c r="H65" s="120"/>
      <c r="I65" s="120"/>
      <c r="J65" s="120"/>
      <c r="K65" s="121"/>
      <c r="L65" s="190" t="s">
        <v>495</v>
      </c>
      <c r="M65" s="120"/>
      <c r="N65" s="120"/>
      <c r="O65" s="120"/>
      <c r="P65" s="121"/>
      <c r="Q65" s="17"/>
      <c r="R65" s="17"/>
      <c r="S65" s="178">
        <f t="shared" ref="S65:S67" si="14">SUM(Q65:R65)</f>
        <v>0</v>
      </c>
      <c r="T65" s="120"/>
      <c r="U65" s="121"/>
      <c r="V65" s="171"/>
      <c r="W65" s="120"/>
      <c r="X65" s="120"/>
      <c r="Y65" s="140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</row>
    <row r="66" spans="1:39" ht="15.75" customHeight="1" outlineLevel="1" x14ac:dyDescent="0.2">
      <c r="A66" s="36" t="s">
        <v>239</v>
      </c>
      <c r="B66" s="26">
        <f t="shared" ref="B66:D66" si="15">SUM(B67:B69)</f>
        <v>0</v>
      </c>
      <c r="C66" s="26">
        <f t="shared" si="15"/>
        <v>0</v>
      </c>
      <c r="D66" s="26">
        <f t="shared" si="15"/>
        <v>0</v>
      </c>
      <c r="E66" s="178">
        <f t="shared" si="8"/>
        <v>0</v>
      </c>
      <c r="F66" s="121"/>
      <c r="G66" s="171"/>
      <c r="H66" s="120"/>
      <c r="I66" s="120"/>
      <c r="J66" s="120"/>
      <c r="K66" s="121"/>
      <c r="L66" s="190" t="s">
        <v>496</v>
      </c>
      <c r="M66" s="120"/>
      <c r="N66" s="120"/>
      <c r="O66" s="120"/>
      <c r="P66" s="121"/>
      <c r="Q66" s="17"/>
      <c r="R66" s="17"/>
      <c r="S66" s="178">
        <f t="shared" si="14"/>
        <v>0</v>
      </c>
      <c r="T66" s="120"/>
      <c r="U66" s="121"/>
      <c r="V66" s="171"/>
      <c r="W66" s="120"/>
      <c r="X66" s="120"/>
      <c r="Y66" s="140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</row>
    <row r="67" spans="1:39" ht="15.75" customHeight="1" outlineLevel="1" x14ac:dyDescent="0.2">
      <c r="A67" s="20" t="s">
        <v>497</v>
      </c>
      <c r="B67" s="6"/>
      <c r="C67" s="6"/>
      <c r="D67" s="6"/>
      <c r="E67" s="183">
        <f t="shared" si="8"/>
        <v>0</v>
      </c>
      <c r="F67" s="126"/>
      <c r="G67" s="171"/>
      <c r="H67" s="120"/>
      <c r="I67" s="120"/>
      <c r="J67" s="120"/>
      <c r="K67" s="121"/>
      <c r="L67" s="190" t="s">
        <v>498</v>
      </c>
      <c r="M67" s="120"/>
      <c r="N67" s="120"/>
      <c r="O67" s="120"/>
      <c r="P67" s="121"/>
      <c r="Q67" s="17"/>
      <c r="R67" s="17"/>
      <c r="S67" s="178">
        <f t="shared" si="14"/>
        <v>0</v>
      </c>
      <c r="T67" s="120"/>
      <c r="U67" s="121"/>
      <c r="V67" s="171"/>
      <c r="W67" s="120"/>
      <c r="X67" s="120"/>
      <c r="Y67" s="140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</row>
    <row r="68" spans="1:39" ht="15.75" customHeight="1" outlineLevel="1" x14ac:dyDescent="0.2">
      <c r="A68" s="20" t="s">
        <v>499</v>
      </c>
      <c r="B68" s="6"/>
      <c r="C68" s="6"/>
      <c r="D68" s="6"/>
      <c r="E68" s="183">
        <f t="shared" si="8"/>
        <v>0</v>
      </c>
      <c r="F68" s="126"/>
      <c r="G68" s="171"/>
      <c r="H68" s="120"/>
      <c r="I68" s="120"/>
      <c r="J68" s="120"/>
      <c r="K68" s="121"/>
      <c r="L68" s="19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41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</row>
    <row r="69" spans="1:39" ht="15.75" customHeight="1" outlineLevel="1" x14ac:dyDescent="0.2">
      <c r="A69" s="20" t="s">
        <v>500</v>
      </c>
      <c r="B69" s="6"/>
      <c r="C69" s="6"/>
      <c r="D69" s="6"/>
      <c r="E69" s="183">
        <f t="shared" si="8"/>
        <v>0</v>
      </c>
      <c r="F69" s="126"/>
      <c r="G69" s="171"/>
      <c r="H69" s="120"/>
      <c r="I69" s="120"/>
      <c r="J69" s="120"/>
      <c r="K69" s="121"/>
      <c r="L69" s="124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38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</row>
    <row r="70" spans="1:39" ht="15.75" customHeight="1" outlineLevel="1" x14ac:dyDescent="0.2">
      <c r="A70" s="184" t="s">
        <v>80</v>
      </c>
      <c r="B70" s="158" t="s">
        <v>211</v>
      </c>
      <c r="C70" s="129"/>
      <c r="D70" s="130"/>
      <c r="E70" s="159" t="s">
        <v>1</v>
      </c>
      <c r="F70" s="154"/>
      <c r="G70" s="179" t="s">
        <v>0</v>
      </c>
      <c r="H70" s="153"/>
      <c r="I70" s="153"/>
      <c r="J70" s="153"/>
      <c r="K70" s="154"/>
      <c r="L70" s="188" t="s">
        <v>80</v>
      </c>
      <c r="M70" s="118"/>
      <c r="N70" s="118"/>
      <c r="O70" s="118"/>
      <c r="P70" s="187"/>
      <c r="Q70" s="185" t="s">
        <v>211</v>
      </c>
      <c r="R70" s="156"/>
      <c r="S70" s="157"/>
      <c r="T70" s="186" t="s">
        <v>1</v>
      </c>
      <c r="U70" s="187"/>
      <c r="V70" s="188" t="s">
        <v>0</v>
      </c>
      <c r="W70" s="118"/>
      <c r="X70" s="118"/>
      <c r="Y70" s="141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</row>
    <row r="71" spans="1:39" ht="15.75" customHeight="1" outlineLevel="1" x14ac:dyDescent="0.2">
      <c r="A71" s="167"/>
      <c r="B71" s="23" t="s">
        <v>2</v>
      </c>
      <c r="C71" s="24" t="s">
        <v>3</v>
      </c>
      <c r="D71" s="24" t="s">
        <v>4</v>
      </c>
      <c r="E71" s="160"/>
      <c r="F71" s="157"/>
      <c r="G71" s="160"/>
      <c r="H71" s="156"/>
      <c r="I71" s="156"/>
      <c r="J71" s="156"/>
      <c r="K71" s="157"/>
      <c r="L71" s="160"/>
      <c r="M71" s="156"/>
      <c r="N71" s="156"/>
      <c r="O71" s="156"/>
      <c r="P71" s="157"/>
      <c r="Q71" s="23" t="s">
        <v>2</v>
      </c>
      <c r="R71" s="24" t="s">
        <v>3</v>
      </c>
      <c r="S71" s="24" t="s">
        <v>4</v>
      </c>
      <c r="T71" s="160"/>
      <c r="U71" s="157"/>
      <c r="V71" s="160"/>
      <c r="W71" s="156"/>
      <c r="X71" s="156"/>
      <c r="Y71" s="162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</row>
    <row r="72" spans="1:39" ht="15.75" customHeight="1" outlineLevel="1" x14ac:dyDescent="0.2">
      <c r="A72" s="139" t="s">
        <v>22</v>
      </c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38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</row>
    <row r="73" spans="1:39" ht="15.75" customHeight="1" outlineLevel="1" x14ac:dyDescent="0.2">
      <c r="A73" s="177" t="s">
        <v>501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1"/>
      <c r="L73" s="191" t="s">
        <v>26</v>
      </c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40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</row>
    <row r="74" spans="1:39" ht="15.75" customHeight="1" outlineLevel="1" x14ac:dyDescent="0.2">
      <c r="A74" s="25" t="s">
        <v>240</v>
      </c>
      <c r="B74" s="33">
        <f t="shared" ref="B74:D74" si="16">SUM(B75:B76)</f>
        <v>0</v>
      </c>
      <c r="C74" s="33">
        <f t="shared" si="16"/>
        <v>0</v>
      </c>
      <c r="D74" s="33">
        <f t="shared" si="16"/>
        <v>0</v>
      </c>
      <c r="E74" s="178">
        <f t="shared" ref="E74:E80" si="17">SUM(B74:D74)</f>
        <v>0</v>
      </c>
      <c r="F74" s="121"/>
      <c r="G74" s="171"/>
      <c r="H74" s="120"/>
      <c r="I74" s="120"/>
      <c r="J74" s="120"/>
      <c r="K74" s="121"/>
      <c r="L74" s="172" t="s">
        <v>502</v>
      </c>
      <c r="M74" s="120"/>
      <c r="N74" s="120"/>
      <c r="O74" s="120"/>
      <c r="P74" s="121"/>
      <c r="Q74" s="17"/>
      <c r="R74" s="17"/>
      <c r="S74" s="17"/>
      <c r="T74" s="175">
        <f t="shared" ref="T74:T75" si="18">SUM(Q74:S74)</f>
        <v>0</v>
      </c>
      <c r="U74" s="121"/>
      <c r="V74" s="171"/>
      <c r="W74" s="120"/>
      <c r="X74" s="120"/>
      <c r="Y74" s="140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</row>
    <row r="75" spans="1:39" ht="15.75" customHeight="1" outlineLevel="1" x14ac:dyDescent="0.2">
      <c r="A75" s="20" t="s">
        <v>503</v>
      </c>
      <c r="B75" s="17"/>
      <c r="C75" s="17"/>
      <c r="D75" s="17"/>
      <c r="E75" s="178">
        <f t="shared" si="17"/>
        <v>0</v>
      </c>
      <c r="F75" s="121"/>
      <c r="G75" s="171"/>
      <c r="H75" s="120"/>
      <c r="I75" s="120"/>
      <c r="J75" s="120"/>
      <c r="K75" s="121"/>
      <c r="L75" s="172" t="s">
        <v>504</v>
      </c>
      <c r="M75" s="120"/>
      <c r="N75" s="120"/>
      <c r="O75" s="120"/>
      <c r="P75" s="121"/>
      <c r="Q75" s="17"/>
      <c r="R75" s="17"/>
      <c r="S75" s="17"/>
      <c r="T75" s="175">
        <f t="shared" si="18"/>
        <v>0</v>
      </c>
      <c r="U75" s="121"/>
      <c r="V75" s="171"/>
      <c r="W75" s="120"/>
      <c r="X75" s="120"/>
      <c r="Y75" s="140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</row>
    <row r="76" spans="1:39" ht="15.75" customHeight="1" outlineLevel="1" x14ac:dyDescent="0.2">
      <c r="A76" s="20" t="s">
        <v>505</v>
      </c>
      <c r="B76" s="17"/>
      <c r="C76" s="17"/>
      <c r="D76" s="17"/>
      <c r="E76" s="178">
        <f t="shared" si="17"/>
        <v>0</v>
      </c>
      <c r="F76" s="121"/>
      <c r="G76" s="171"/>
      <c r="H76" s="120"/>
      <c r="I76" s="120"/>
      <c r="J76" s="120"/>
      <c r="K76" s="121"/>
      <c r="L76" s="174" t="s">
        <v>506</v>
      </c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40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</row>
    <row r="77" spans="1:39" ht="15.75" customHeight="1" outlineLevel="1" x14ac:dyDescent="0.2">
      <c r="A77" s="25" t="s">
        <v>241</v>
      </c>
      <c r="B77" s="26">
        <f t="shared" ref="B77:D77" si="19">SUM(B78:B79)-B80</f>
        <v>0</v>
      </c>
      <c r="C77" s="26">
        <f t="shared" si="19"/>
        <v>0</v>
      </c>
      <c r="D77" s="26">
        <f t="shared" si="19"/>
        <v>0</v>
      </c>
      <c r="E77" s="178">
        <f t="shared" si="17"/>
        <v>0</v>
      </c>
      <c r="F77" s="121"/>
      <c r="G77" s="171"/>
      <c r="H77" s="120"/>
      <c r="I77" s="120"/>
      <c r="J77" s="120"/>
      <c r="K77" s="121"/>
      <c r="L77" s="172" t="s">
        <v>242</v>
      </c>
      <c r="M77" s="120"/>
      <c r="N77" s="120"/>
      <c r="O77" s="120"/>
      <c r="P77" s="121"/>
      <c r="Q77" s="17"/>
      <c r="R77" s="17"/>
      <c r="S77" s="17"/>
      <c r="T77" s="175">
        <f t="shared" ref="T77:T79" si="20">SUM(Q77:S77)</f>
        <v>0</v>
      </c>
      <c r="U77" s="121"/>
      <c r="V77" s="171"/>
      <c r="W77" s="120"/>
      <c r="X77" s="120"/>
      <c r="Y77" s="140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</row>
    <row r="78" spans="1:39" ht="15.75" customHeight="1" outlineLevel="1" x14ac:dyDescent="0.2">
      <c r="A78" s="20" t="s">
        <v>507</v>
      </c>
      <c r="B78" s="17"/>
      <c r="C78" s="17"/>
      <c r="D78" s="17"/>
      <c r="E78" s="178">
        <f t="shared" si="17"/>
        <v>0</v>
      </c>
      <c r="F78" s="121"/>
      <c r="G78" s="171"/>
      <c r="H78" s="120"/>
      <c r="I78" s="120"/>
      <c r="J78" s="120"/>
      <c r="K78" s="121"/>
      <c r="L78" s="172" t="s">
        <v>508</v>
      </c>
      <c r="M78" s="120"/>
      <c r="N78" s="120"/>
      <c r="O78" s="120"/>
      <c r="P78" s="121"/>
      <c r="Q78" s="17"/>
      <c r="R78" s="17"/>
      <c r="S78" s="17"/>
      <c r="T78" s="175">
        <f t="shared" si="20"/>
        <v>0</v>
      </c>
      <c r="U78" s="121"/>
      <c r="V78" s="171"/>
      <c r="W78" s="120"/>
      <c r="X78" s="120"/>
      <c r="Y78" s="140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</row>
    <row r="79" spans="1:39" ht="15.75" customHeight="1" outlineLevel="1" x14ac:dyDescent="0.2">
      <c r="A79" s="20" t="s">
        <v>509</v>
      </c>
      <c r="B79" s="6"/>
      <c r="C79" s="6"/>
      <c r="D79" s="6"/>
      <c r="E79" s="183">
        <f t="shared" si="17"/>
        <v>0</v>
      </c>
      <c r="F79" s="126"/>
      <c r="G79" s="123"/>
      <c r="H79" s="127"/>
      <c r="I79" s="127"/>
      <c r="J79" s="127"/>
      <c r="K79" s="126"/>
      <c r="L79" s="172" t="s">
        <v>243</v>
      </c>
      <c r="M79" s="120"/>
      <c r="N79" s="120"/>
      <c r="O79" s="120"/>
      <c r="P79" s="121"/>
      <c r="Q79" s="17"/>
      <c r="R79" s="17"/>
      <c r="S79" s="17"/>
      <c r="T79" s="175">
        <f t="shared" si="20"/>
        <v>0</v>
      </c>
      <c r="U79" s="121"/>
      <c r="V79" s="171"/>
      <c r="W79" s="120"/>
      <c r="X79" s="120"/>
      <c r="Y79" s="140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</row>
    <row r="80" spans="1:39" ht="15.75" customHeight="1" outlineLevel="1" x14ac:dyDescent="0.2">
      <c r="A80" s="20" t="s">
        <v>510</v>
      </c>
      <c r="B80" s="6"/>
      <c r="C80" s="6"/>
      <c r="D80" s="6"/>
      <c r="E80" s="183">
        <f t="shared" si="17"/>
        <v>0</v>
      </c>
      <c r="F80" s="126"/>
      <c r="G80" s="123"/>
      <c r="H80" s="127"/>
      <c r="I80" s="127"/>
      <c r="J80" s="127"/>
      <c r="K80" s="126"/>
      <c r="L80" s="38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40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</row>
    <row r="81" spans="1:39" ht="15.75" customHeight="1" x14ac:dyDescent="0.2">
      <c r="A81" s="199" t="s">
        <v>244</v>
      </c>
      <c r="B81" s="129"/>
      <c r="C81" s="129"/>
      <c r="D81" s="129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29"/>
      <c r="R81" s="129"/>
      <c r="S81" s="129"/>
      <c r="T81" s="129"/>
      <c r="U81" s="129"/>
      <c r="V81" s="129"/>
      <c r="W81" s="129"/>
      <c r="X81" s="129"/>
      <c r="Y81" s="200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</row>
    <row r="82" spans="1:39" ht="15.75" customHeight="1" outlineLevel="1" x14ac:dyDescent="0.2">
      <c r="A82" s="165" t="s">
        <v>80</v>
      </c>
      <c r="B82" s="158" t="s">
        <v>245</v>
      </c>
      <c r="C82" s="129"/>
      <c r="D82" s="130"/>
      <c r="E82" s="159" t="s">
        <v>0</v>
      </c>
      <c r="F82" s="153"/>
      <c r="G82" s="153"/>
      <c r="H82" s="153"/>
      <c r="I82" s="153"/>
      <c r="J82" s="153"/>
      <c r="K82" s="154"/>
      <c r="L82" s="179" t="s">
        <v>80</v>
      </c>
      <c r="M82" s="153"/>
      <c r="N82" s="153"/>
      <c r="O82" s="153"/>
      <c r="P82" s="154"/>
      <c r="Q82" s="158" t="s">
        <v>245</v>
      </c>
      <c r="R82" s="129"/>
      <c r="S82" s="130"/>
      <c r="T82" s="159" t="s">
        <v>0</v>
      </c>
      <c r="U82" s="153"/>
      <c r="V82" s="153"/>
      <c r="W82" s="153"/>
      <c r="X82" s="153"/>
      <c r="Y82" s="161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</row>
    <row r="83" spans="1:39" ht="15.75" customHeight="1" outlineLevel="1" x14ac:dyDescent="0.2">
      <c r="A83" s="167"/>
      <c r="B83" s="14" t="s">
        <v>23</v>
      </c>
      <c r="C83" s="14" t="s">
        <v>24</v>
      </c>
      <c r="D83" s="14" t="s">
        <v>25</v>
      </c>
      <c r="E83" s="160"/>
      <c r="F83" s="156"/>
      <c r="G83" s="156"/>
      <c r="H83" s="156"/>
      <c r="I83" s="156"/>
      <c r="J83" s="156"/>
      <c r="K83" s="157"/>
      <c r="L83" s="160"/>
      <c r="M83" s="156"/>
      <c r="N83" s="156"/>
      <c r="O83" s="156"/>
      <c r="P83" s="157"/>
      <c r="Q83" s="14" t="s">
        <v>23</v>
      </c>
      <c r="R83" s="14" t="s">
        <v>24</v>
      </c>
      <c r="S83" s="14" t="s">
        <v>25</v>
      </c>
      <c r="T83" s="160"/>
      <c r="U83" s="156"/>
      <c r="V83" s="156"/>
      <c r="W83" s="156"/>
      <c r="X83" s="156"/>
      <c r="Y83" s="162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</row>
    <row r="84" spans="1:39" ht="15.75" customHeight="1" outlineLevel="1" x14ac:dyDescent="0.2">
      <c r="A84" s="201" t="s">
        <v>246</v>
      </c>
      <c r="B84" s="120"/>
      <c r="C84" s="120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40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</row>
    <row r="85" spans="1:39" ht="15.75" customHeight="1" outlineLevel="1" x14ac:dyDescent="0.2">
      <c r="A85" s="202" t="s">
        <v>247</v>
      </c>
      <c r="B85" s="120"/>
      <c r="C85" s="120"/>
      <c r="D85" s="120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40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</row>
    <row r="86" spans="1:39" ht="15.75" customHeight="1" outlineLevel="1" x14ac:dyDescent="0.2">
      <c r="A86" s="41" t="s">
        <v>81</v>
      </c>
      <c r="B86" s="42"/>
      <c r="C86" s="42"/>
      <c r="D86" s="43">
        <f t="shared" ref="D86:D94" si="21">SUM(B86:C86)</f>
        <v>0</v>
      </c>
      <c r="E86" s="203"/>
      <c r="F86" s="120"/>
      <c r="G86" s="120"/>
      <c r="H86" s="120"/>
      <c r="I86" s="120"/>
      <c r="J86" s="120"/>
      <c r="K86" s="121"/>
      <c r="L86" s="206" t="s">
        <v>33</v>
      </c>
      <c r="M86" s="122"/>
      <c r="N86" s="122"/>
      <c r="O86" s="122"/>
      <c r="P86" s="122"/>
      <c r="Q86" s="42"/>
      <c r="R86" s="42"/>
      <c r="S86" s="43">
        <f t="shared" ref="S86:S93" si="22">SUM(Q86:R86)</f>
        <v>0</v>
      </c>
      <c r="T86" s="203"/>
      <c r="U86" s="120"/>
      <c r="V86" s="120"/>
      <c r="W86" s="120"/>
      <c r="X86" s="120"/>
      <c r="Y86" s="140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</row>
    <row r="87" spans="1:39" ht="15.75" customHeight="1" outlineLevel="1" x14ac:dyDescent="0.2">
      <c r="A87" s="44" t="s">
        <v>82</v>
      </c>
      <c r="B87" s="42"/>
      <c r="C87" s="42"/>
      <c r="D87" s="43">
        <f t="shared" si="21"/>
        <v>0</v>
      </c>
      <c r="E87" s="203"/>
      <c r="F87" s="120"/>
      <c r="G87" s="120"/>
      <c r="H87" s="120"/>
      <c r="I87" s="120"/>
      <c r="J87" s="120"/>
      <c r="K87" s="121"/>
      <c r="L87" s="207" t="s">
        <v>34</v>
      </c>
      <c r="M87" s="120"/>
      <c r="N87" s="120"/>
      <c r="O87" s="120"/>
      <c r="P87" s="121"/>
      <c r="Q87" s="42"/>
      <c r="R87" s="42"/>
      <c r="S87" s="43">
        <f t="shared" si="22"/>
        <v>0</v>
      </c>
      <c r="T87" s="203"/>
      <c r="U87" s="120"/>
      <c r="V87" s="120"/>
      <c r="W87" s="120"/>
      <c r="X87" s="120"/>
      <c r="Y87" s="140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</row>
    <row r="88" spans="1:39" ht="15.75" customHeight="1" outlineLevel="1" x14ac:dyDescent="0.2">
      <c r="A88" s="45" t="s">
        <v>27</v>
      </c>
      <c r="B88" s="42"/>
      <c r="C88" s="42"/>
      <c r="D88" s="43">
        <f t="shared" si="21"/>
        <v>0</v>
      </c>
      <c r="E88" s="203"/>
      <c r="F88" s="120"/>
      <c r="G88" s="120"/>
      <c r="H88" s="120"/>
      <c r="I88" s="120"/>
      <c r="J88" s="120"/>
      <c r="K88" s="121"/>
      <c r="L88" s="207" t="s">
        <v>35</v>
      </c>
      <c r="M88" s="120"/>
      <c r="N88" s="120"/>
      <c r="O88" s="120"/>
      <c r="P88" s="121"/>
      <c r="Q88" s="42"/>
      <c r="R88" s="42"/>
      <c r="S88" s="43">
        <f t="shared" si="22"/>
        <v>0</v>
      </c>
      <c r="T88" s="203"/>
      <c r="U88" s="120"/>
      <c r="V88" s="120"/>
      <c r="W88" s="120"/>
      <c r="X88" s="120"/>
      <c r="Y88" s="140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</row>
    <row r="89" spans="1:39" ht="15.75" customHeight="1" outlineLevel="1" x14ac:dyDescent="0.2">
      <c r="A89" s="46" t="s">
        <v>248</v>
      </c>
      <c r="B89" s="47"/>
      <c r="C89" s="47"/>
      <c r="D89" s="48">
        <f t="shared" si="21"/>
        <v>0</v>
      </c>
      <c r="E89" s="203"/>
      <c r="F89" s="120"/>
      <c r="G89" s="120"/>
      <c r="H89" s="120"/>
      <c r="I89" s="120"/>
      <c r="J89" s="120"/>
      <c r="K89" s="121"/>
      <c r="L89" s="207" t="s">
        <v>36</v>
      </c>
      <c r="M89" s="120"/>
      <c r="N89" s="120"/>
      <c r="O89" s="120"/>
      <c r="P89" s="121"/>
      <c r="Q89" s="47"/>
      <c r="R89" s="47"/>
      <c r="S89" s="48">
        <f t="shared" si="22"/>
        <v>0</v>
      </c>
      <c r="T89" s="203"/>
      <c r="U89" s="120"/>
      <c r="V89" s="120"/>
      <c r="W89" s="120"/>
      <c r="X89" s="120"/>
      <c r="Y89" s="140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</row>
    <row r="90" spans="1:39" ht="15.75" customHeight="1" outlineLevel="1" x14ac:dyDescent="0.2">
      <c r="A90" s="41" t="s">
        <v>28</v>
      </c>
      <c r="B90" s="42"/>
      <c r="C90" s="42"/>
      <c r="D90" s="43">
        <f t="shared" si="21"/>
        <v>0</v>
      </c>
      <c r="E90" s="203"/>
      <c r="F90" s="120"/>
      <c r="G90" s="120"/>
      <c r="H90" s="120"/>
      <c r="I90" s="120"/>
      <c r="J90" s="120"/>
      <c r="K90" s="121"/>
      <c r="L90" s="207" t="s">
        <v>37</v>
      </c>
      <c r="M90" s="120"/>
      <c r="N90" s="120"/>
      <c r="O90" s="120"/>
      <c r="P90" s="121"/>
      <c r="Q90" s="42"/>
      <c r="R90" s="42"/>
      <c r="S90" s="43">
        <f t="shared" si="22"/>
        <v>0</v>
      </c>
      <c r="T90" s="203"/>
      <c r="U90" s="120"/>
      <c r="V90" s="120"/>
      <c r="W90" s="120"/>
      <c r="X90" s="120"/>
      <c r="Y90" s="140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</row>
    <row r="91" spans="1:39" ht="15.75" customHeight="1" outlineLevel="1" x14ac:dyDescent="0.2">
      <c r="A91" s="41" t="s">
        <v>29</v>
      </c>
      <c r="B91" s="42"/>
      <c r="C91" s="42"/>
      <c r="D91" s="43">
        <f t="shared" si="21"/>
        <v>0</v>
      </c>
      <c r="E91" s="203"/>
      <c r="F91" s="120"/>
      <c r="G91" s="120"/>
      <c r="H91" s="120"/>
      <c r="I91" s="120"/>
      <c r="J91" s="120"/>
      <c r="K91" s="121"/>
      <c r="L91" s="207" t="s">
        <v>38</v>
      </c>
      <c r="M91" s="120"/>
      <c r="N91" s="120"/>
      <c r="O91" s="120"/>
      <c r="P91" s="121"/>
      <c r="Q91" s="42"/>
      <c r="R91" s="42"/>
      <c r="S91" s="43">
        <f t="shared" si="22"/>
        <v>0</v>
      </c>
      <c r="T91" s="203"/>
      <c r="U91" s="120"/>
      <c r="V91" s="120"/>
      <c r="W91" s="120"/>
      <c r="X91" s="120"/>
      <c r="Y91" s="140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</row>
    <row r="92" spans="1:39" ht="15.75" customHeight="1" outlineLevel="1" x14ac:dyDescent="0.2">
      <c r="A92" s="41" t="s">
        <v>30</v>
      </c>
      <c r="B92" s="42"/>
      <c r="C92" s="42"/>
      <c r="D92" s="43">
        <f t="shared" si="21"/>
        <v>0</v>
      </c>
      <c r="E92" s="203"/>
      <c r="F92" s="120"/>
      <c r="G92" s="120"/>
      <c r="H92" s="120"/>
      <c r="I92" s="120"/>
      <c r="J92" s="120"/>
      <c r="K92" s="121"/>
      <c r="L92" s="207" t="s">
        <v>39</v>
      </c>
      <c r="M92" s="120"/>
      <c r="N92" s="120"/>
      <c r="O92" s="120"/>
      <c r="P92" s="121"/>
      <c r="Q92" s="42"/>
      <c r="R92" s="42"/>
      <c r="S92" s="43">
        <f t="shared" si="22"/>
        <v>0</v>
      </c>
      <c r="T92" s="203"/>
      <c r="U92" s="120"/>
      <c r="V92" s="120"/>
      <c r="W92" s="120"/>
      <c r="X92" s="120"/>
      <c r="Y92" s="140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</row>
    <row r="93" spans="1:39" ht="15.75" customHeight="1" outlineLevel="1" x14ac:dyDescent="0.2">
      <c r="A93" s="41" t="s">
        <v>31</v>
      </c>
      <c r="B93" s="42"/>
      <c r="C93" s="42"/>
      <c r="D93" s="43">
        <f t="shared" si="21"/>
        <v>0</v>
      </c>
      <c r="E93" s="203"/>
      <c r="F93" s="120"/>
      <c r="G93" s="120"/>
      <c r="H93" s="120"/>
      <c r="I93" s="120"/>
      <c r="J93" s="120"/>
      <c r="K93" s="121"/>
      <c r="L93" s="207" t="s">
        <v>40</v>
      </c>
      <c r="M93" s="120"/>
      <c r="N93" s="120"/>
      <c r="O93" s="120"/>
      <c r="P93" s="121"/>
      <c r="Q93" s="42"/>
      <c r="R93" s="42"/>
      <c r="S93" s="43">
        <f t="shared" si="22"/>
        <v>0</v>
      </c>
      <c r="T93" s="203"/>
      <c r="U93" s="120"/>
      <c r="V93" s="120"/>
      <c r="W93" s="120"/>
      <c r="X93" s="120"/>
      <c r="Y93" s="140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</row>
    <row r="94" spans="1:39" ht="15.75" customHeight="1" outlineLevel="1" x14ac:dyDescent="0.2">
      <c r="A94" s="41" t="s">
        <v>32</v>
      </c>
      <c r="B94" s="42"/>
      <c r="C94" s="42"/>
      <c r="D94" s="43">
        <f t="shared" si="21"/>
        <v>0</v>
      </c>
      <c r="E94" s="203"/>
      <c r="F94" s="120"/>
      <c r="G94" s="120"/>
      <c r="H94" s="120"/>
      <c r="I94" s="120"/>
      <c r="J94" s="120"/>
      <c r="K94" s="121"/>
      <c r="L94" s="204"/>
      <c r="M94" s="118"/>
      <c r="N94" s="118"/>
      <c r="O94" s="118"/>
      <c r="P94" s="118"/>
      <c r="Q94" s="49"/>
      <c r="R94" s="49"/>
      <c r="S94" s="49"/>
      <c r="T94" s="204"/>
      <c r="U94" s="118"/>
      <c r="V94" s="118"/>
      <c r="W94" s="118"/>
      <c r="X94" s="118"/>
      <c r="Y94" s="118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</row>
    <row r="95" spans="1:39" ht="15.75" customHeight="1" outlineLevel="1" x14ac:dyDescent="0.2">
      <c r="A95" s="205" t="s">
        <v>249</v>
      </c>
      <c r="B95" s="120"/>
      <c r="C95" s="120"/>
      <c r="D95" s="120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40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</row>
    <row r="96" spans="1:39" ht="15.75" customHeight="1" outlineLevel="1" x14ac:dyDescent="0.2">
      <c r="A96" s="41" t="s">
        <v>41</v>
      </c>
      <c r="B96" s="42"/>
      <c r="C96" s="42"/>
      <c r="D96" s="43">
        <f t="shared" ref="D96:D103" si="23">SUM(B96:C96)</f>
        <v>0</v>
      </c>
      <c r="E96" s="203"/>
      <c r="F96" s="120"/>
      <c r="G96" s="120"/>
      <c r="H96" s="120"/>
      <c r="I96" s="120"/>
      <c r="J96" s="120"/>
      <c r="K96" s="121"/>
      <c r="L96" s="207" t="s">
        <v>49</v>
      </c>
      <c r="M96" s="120"/>
      <c r="N96" s="120"/>
      <c r="O96" s="120"/>
      <c r="P96" s="121"/>
      <c r="Q96" s="42"/>
      <c r="R96" s="42"/>
      <c r="S96" s="43">
        <f t="shared" ref="S96:S102" si="24">SUM(Q96:R96)</f>
        <v>0</v>
      </c>
      <c r="T96" s="203"/>
      <c r="U96" s="120"/>
      <c r="V96" s="120"/>
      <c r="W96" s="120"/>
      <c r="X96" s="120"/>
      <c r="Y96" s="140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</row>
    <row r="97" spans="1:39" ht="15.75" customHeight="1" outlineLevel="1" x14ac:dyDescent="0.2">
      <c r="A97" s="46" t="s">
        <v>42</v>
      </c>
      <c r="B97" s="47"/>
      <c r="C97" s="47"/>
      <c r="D97" s="48">
        <f t="shared" si="23"/>
        <v>0</v>
      </c>
      <c r="E97" s="203"/>
      <c r="F97" s="120"/>
      <c r="G97" s="120"/>
      <c r="H97" s="120"/>
      <c r="I97" s="120"/>
      <c r="J97" s="120"/>
      <c r="K97" s="121"/>
      <c r="L97" s="207" t="s">
        <v>50</v>
      </c>
      <c r="M97" s="120"/>
      <c r="N97" s="120"/>
      <c r="O97" s="120"/>
      <c r="P97" s="121"/>
      <c r="Q97" s="47"/>
      <c r="R97" s="47"/>
      <c r="S97" s="48">
        <f t="shared" si="24"/>
        <v>0</v>
      </c>
      <c r="T97" s="203"/>
      <c r="U97" s="120"/>
      <c r="V97" s="120"/>
      <c r="W97" s="120"/>
      <c r="X97" s="120"/>
      <c r="Y97" s="140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</row>
    <row r="98" spans="1:39" ht="15.75" customHeight="1" outlineLevel="1" x14ac:dyDescent="0.2">
      <c r="A98" s="41" t="s">
        <v>43</v>
      </c>
      <c r="B98" s="42"/>
      <c r="C98" s="42"/>
      <c r="D98" s="43">
        <f t="shared" si="23"/>
        <v>0</v>
      </c>
      <c r="E98" s="203"/>
      <c r="F98" s="120"/>
      <c r="G98" s="120"/>
      <c r="H98" s="120"/>
      <c r="I98" s="120"/>
      <c r="J98" s="120"/>
      <c r="K98" s="121"/>
      <c r="L98" s="207" t="s">
        <v>51</v>
      </c>
      <c r="M98" s="120"/>
      <c r="N98" s="120"/>
      <c r="O98" s="120"/>
      <c r="P98" s="121"/>
      <c r="Q98" s="42"/>
      <c r="R98" s="42"/>
      <c r="S98" s="43">
        <f t="shared" si="24"/>
        <v>0</v>
      </c>
      <c r="T98" s="203"/>
      <c r="U98" s="120"/>
      <c r="V98" s="120"/>
      <c r="W98" s="120"/>
      <c r="X98" s="120"/>
      <c r="Y98" s="140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</row>
    <row r="99" spans="1:39" ht="15.75" customHeight="1" outlineLevel="1" x14ac:dyDescent="0.2">
      <c r="A99" s="41" t="s">
        <v>44</v>
      </c>
      <c r="B99" s="42"/>
      <c r="C99" s="42"/>
      <c r="D99" s="43">
        <f t="shared" si="23"/>
        <v>0</v>
      </c>
      <c r="E99" s="203"/>
      <c r="F99" s="120"/>
      <c r="G99" s="120"/>
      <c r="H99" s="120"/>
      <c r="I99" s="120"/>
      <c r="J99" s="120"/>
      <c r="K99" s="121"/>
      <c r="L99" s="207" t="s">
        <v>52</v>
      </c>
      <c r="M99" s="120"/>
      <c r="N99" s="120"/>
      <c r="O99" s="120"/>
      <c r="P99" s="121"/>
      <c r="Q99" s="42"/>
      <c r="R99" s="42"/>
      <c r="S99" s="43">
        <f t="shared" si="24"/>
        <v>0</v>
      </c>
      <c r="T99" s="203"/>
      <c r="U99" s="120"/>
      <c r="V99" s="120"/>
      <c r="W99" s="120"/>
      <c r="X99" s="120"/>
      <c r="Y99" s="140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</row>
    <row r="100" spans="1:39" ht="15.75" customHeight="1" outlineLevel="1" x14ac:dyDescent="0.2">
      <c r="A100" s="41" t="s">
        <v>45</v>
      </c>
      <c r="B100" s="42"/>
      <c r="C100" s="42"/>
      <c r="D100" s="43">
        <f t="shared" si="23"/>
        <v>0</v>
      </c>
      <c r="E100" s="203"/>
      <c r="F100" s="120"/>
      <c r="G100" s="120"/>
      <c r="H100" s="120"/>
      <c r="I100" s="120"/>
      <c r="J100" s="120"/>
      <c r="K100" s="121"/>
      <c r="L100" s="207" t="s">
        <v>53</v>
      </c>
      <c r="M100" s="120"/>
      <c r="N100" s="120"/>
      <c r="O100" s="120"/>
      <c r="P100" s="121"/>
      <c r="Q100" s="42"/>
      <c r="R100" s="42"/>
      <c r="S100" s="43">
        <f t="shared" si="24"/>
        <v>0</v>
      </c>
      <c r="T100" s="203"/>
      <c r="U100" s="120"/>
      <c r="V100" s="120"/>
      <c r="W100" s="120"/>
      <c r="X100" s="120"/>
      <c r="Y100" s="140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</row>
    <row r="101" spans="1:39" ht="15.75" customHeight="1" outlineLevel="1" x14ac:dyDescent="0.2">
      <c r="A101" s="41" t="s">
        <v>46</v>
      </c>
      <c r="B101" s="42"/>
      <c r="C101" s="42"/>
      <c r="D101" s="43">
        <f t="shared" si="23"/>
        <v>0</v>
      </c>
      <c r="E101" s="203"/>
      <c r="F101" s="120"/>
      <c r="G101" s="120"/>
      <c r="H101" s="120"/>
      <c r="I101" s="120"/>
      <c r="J101" s="120"/>
      <c r="K101" s="121"/>
      <c r="L101" s="207" t="s">
        <v>250</v>
      </c>
      <c r="M101" s="120"/>
      <c r="N101" s="120"/>
      <c r="O101" s="120"/>
      <c r="P101" s="121"/>
      <c r="Q101" s="42"/>
      <c r="R101" s="42"/>
      <c r="S101" s="43">
        <f t="shared" si="24"/>
        <v>0</v>
      </c>
      <c r="T101" s="203"/>
      <c r="U101" s="120"/>
      <c r="V101" s="120"/>
      <c r="W101" s="120"/>
      <c r="X101" s="120"/>
      <c r="Y101" s="140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</row>
    <row r="102" spans="1:39" ht="15.75" customHeight="1" outlineLevel="1" x14ac:dyDescent="0.2">
      <c r="A102" s="41" t="s">
        <v>47</v>
      </c>
      <c r="B102" s="42"/>
      <c r="C102" s="42"/>
      <c r="D102" s="43">
        <f t="shared" si="23"/>
        <v>0</v>
      </c>
      <c r="E102" s="203"/>
      <c r="F102" s="120"/>
      <c r="G102" s="120"/>
      <c r="H102" s="120"/>
      <c r="I102" s="120"/>
      <c r="J102" s="120"/>
      <c r="K102" s="121"/>
      <c r="L102" s="208" t="s">
        <v>251</v>
      </c>
      <c r="M102" s="127"/>
      <c r="N102" s="127"/>
      <c r="O102" s="127"/>
      <c r="P102" s="126"/>
      <c r="Q102" s="8"/>
      <c r="R102" s="8"/>
      <c r="S102" s="50">
        <f t="shared" si="24"/>
        <v>0</v>
      </c>
      <c r="T102" s="209"/>
      <c r="U102" s="127"/>
      <c r="V102" s="127"/>
      <c r="W102" s="127"/>
      <c r="X102" s="127"/>
      <c r="Y102" s="132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</row>
    <row r="103" spans="1:39" ht="15.75" customHeight="1" outlineLevel="1" x14ac:dyDescent="0.2">
      <c r="A103" s="41" t="s">
        <v>48</v>
      </c>
      <c r="B103" s="42"/>
      <c r="C103" s="42"/>
      <c r="D103" s="43">
        <f t="shared" si="23"/>
        <v>0</v>
      </c>
      <c r="E103" s="203"/>
      <c r="F103" s="120"/>
      <c r="G103" s="120"/>
      <c r="H103" s="120"/>
      <c r="I103" s="120"/>
      <c r="J103" s="120"/>
      <c r="K103" s="121"/>
      <c r="L103" s="210"/>
      <c r="M103" s="118"/>
      <c r="N103" s="118"/>
      <c r="O103" s="118"/>
      <c r="P103" s="118"/>
      <c r="Q103" s="49"/>
      <c r="R103" s="49"/>
      <c r="S103" s="49"/>
      <c r="T103" s="49"/>
      <c r="U103" s="49"/>
      <c r="V103" s="49"/>
      <c r="W103" s="49"/>
      <c r="X103" s="49"/>
      <c r="Y103" s="49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</row>
    <row r="104" spans="1:39" ht="15.75" customHeight="1" outlineLevel="1" x14ac:dyDescent="0.2">
      <c r="A104" s="184" t="s">
        <v>80</v>
      </c>
      <c r="B104" s="185" t="s">
        <v>245</v>
      </c>
      <c r="C104" s="156"/>
      <c r="D104" s="157"/>
      <c r="E104" s="186" t="s">
        <v>0</v>
      </c>
      <c r="F104" s="118"/>
      <c r="G104" s="118"/>
      <c r="H104" s="118"/>
      <c r="I104" s="118"/>
      <c r="J104" s="118"/>
      <c r="K104" s="187"/>
      <c r="L104" s="188" t="s">
        <v>80</v>
      </c>
      <c r="M104" s="118"/>
      <c r="N104" s="118"/>
      <c r="O104" s="118"/>
      <c r="P104" s="187"/>
      <c r="Q104" s="185" t="s">
        <v>245</v>
      </c>
      <c r="R104" s="156"/>
      <c r="S104" s="157"/>
      <c r="T104" s="186" t="s">
        <v>0</v>
      </c>
      <c r="U104" s="118"/>
      <c r="V104" s="118"/>
      <c r="W104" s="118"/>
      <c r="X104" s="118"/>
      <c r="Y104" s="141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</row>
    <row r="105" spans="1:39" ht="15.75" customHeight="1" outlineLevel="1" x14ac:dyDescent="0.2">
      <c r="A105" s="167"/>
      <c r="B105" s="24" t="s">
        <v>23</v>
      </c>
      <c r="C105" s="24" t="s">
        <v>24</v>
      </c>
      <c r="D105" s="24" t="s">
        <v>25</v>
      </c>
      <c r="E105" s="160"/>
      <c r="F105" s="156"/>
      <c r="G105" s="156"/>
      <c r="H105" s="156"/>
      <c r="I105" s="156"/>
      <c r="J105" s="156"/>
      <c r="K105" s="157"/>
      <c r="L105" s="160"/>
      <c r="M105" s="156"/>
      <c r="N105" s="156"/>
      <c r="O105" s="156"/>
      <c r="P105" s="157"/>
      <c r="Q105" s="24" t="s">
        <v>23</v>
      </c>
      <c r="R105" s="24" t="s">
        <v>24</v>
      </c>
      <c r="S105" s="24" t="s">
        <v>25</v>
      </c>
      <c r="T105" s="160"/>
      <c r="U105" s="156"/>
      <c r="V105" s="156"/>
      <c r="W105" s="156"/>
      <c r="X105" s="156"/>
      <c r="Y105" s="162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</row>
    <row r="106" spans="1:39" ht="15.75" customHeight="1" outlineLevel="1" x14ac:dyDescent="0.2">
      <c r="A106" s="211" t="s">
        <v>252</v>
      </c>
      <c r="B106" s="122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38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</row>
    <row r="107" spans="1:39" ht="15.75" customHeight="1" outlineLevel="1" x14ac:dyDescent="0.2">
      <c r="A107" s="51" t="s">
        <v>54</v>
      </c>
      <c r="B107" s="52"/>
      <c r="C107" s="52"/>
      <c r="D107" s="43">
        <f t="shared" ref="D107:D110" si="25">SUM(B107:C107)</f>
        <v>0</v>
      </c>
      <c r="E107" s="203"/>
      <c r="F107" s="120"/>
      <c r="G107" s="120"/>
      <c r="H107" s="120"/>
      <c r="I107" s="120"/>
      <c r="J107" s="120"/>
      <c r="K107" s="121"/>
      <c r="L107" s="207" t="s">
        <v>56</v>
      </c>
      <c r="M107" s="120"/>
      <c r="N107" s="120"/>
      <c r="O107" s="120"/>
      <c r="P107" s="121"/>
      <c r="Q107" s="52"/>
      <c r="R107" s="52"/>
      <c r="S107" s="43">
        <f t="shared" ref="S107:S109" si="26">SUM(Q107:R107)</f>
        <v>0</v>
      </c>
      <c r="T107" s="203"/>
      <c r="U107" s="120"/>
      <c r="V107" s="120"/>
      <c r="W107" s="120"/>
      <c r="X107" s="120"/>
      <c r="Y107" s="140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</row>
    <row r="108" spans="1:39" ht="15.75" customHeight="1" outlineLevel="1" x14ac:dyDescent="0.2">
      <c r="A108" s="51" t="s">
        <v>83</v>
      </c>
      <c r="B108" s="52"/>
      <c r="C108" s="52"/>
      <c r="D108" s="43">
        <f t="shared" si="25"/>
        <v>0</v>
      </c>
      <c r="E108" s="203"/>
      <c r="F108" s="120"/>
      <c r="G108" s="120"/>
      <c r="H108" s="120"/>
      <c r="I108" s="120"/>
      <c r="J108" s="120"/>
      <c r="K108" s="121"/>
      <c r="L108" s="207" t="s">
        <v>57</v>
      </c>
      <c r="M108" s="120"/>
      <c r="N108" s="120"/>
      <c r="O108" s="120"/>
      <c r="P108" s="121"/>
      <c r="Q108" s="52"/>
      <c r="R108" s="52"/>
      <c r="S108" s="43">
        <f t="shared" si="26"/>
        <v>0</v>
      </c>
      <c r="T108" s="203"/>
      <c r="U108" s="120"/>
      <c r="V108" s="120"/>
      <c r="W108" s="120"/>
      <c r="X108" s="120"/>
      <c r="Y108" s="140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</row>
    <row r="109" spans="1:39" ht="15.75" customHeight="1" outlineLevel="1" x14ac:dyDescent="0.2">
      <c r="A109" s="53" t="s">
        <v>84</v>
      </c>
      <c r="B109" s="52"/>
      <c r="C109" s="52"/>
      <c r="D109" s="43">
        <f t="shared" si="25"/>
        <v>0</v>
      </c>
      <c r="E109" s="203"/>
      <c r="F109" s="120"/>
      <c r="G109" s="120"/>
      <c r="H109" s="120"/>
      <c r="I109" s="120"/>
      <c r="J109" s="120"/>
      <c r="K109" s="121"/>
      <c r="L109" s="207" t="s">
        <v>58</v>
      </c>
      <c r="M109" s="120"/>
      <c r="N109" s="120"/>
      <c r="O109" s="120"/>
      <c r="P109" s="121"/>
      <c r="Q109" s="52"/>
      <c r="R109" s="52"/>
      <c r="S109" s="43">
        <f t="shared" si="26"/>
        <v>0</v>
      </c>
      <c r="T109" s="203"/>
      <c r="U109" s="120"/>
      <c r="V109" s="120"/>
      <c r="W109" s="120"/>
      <c r="X109" s="120"/>
      <c r="Y109" s="140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</row>
    <row r="110" spans="1:39" ht="15.75" customHeight="1" outlineLevel="1" x14ac:dyDescent="0.2">
      <c r="A110" s="53" t="s">
        <v>55</v>
      </c>
      <c r="B110" s="52"/>
      <c r="C110" s="52"/>
      <c r="D110" s="43">
        <f t="shared" si="25"/>
        <v>0</v>
      </c>
      <c r="E110" s="203"/>
      <c r="F110" s="120"/>
      <c r="G110" s="120"/>
      <c r="H110" s="120"/>
      <c r="I110" s="120"/>
      <c r="J110" s="120"/>
      <c r="K110" s="121"/>
      <c r="L110" s="204"/>
      <c r="M110" s="118"/>
      <c r="N110" s="118"/>
      <c r="O110" s="118"/>
      <c r="P110" s="118"/>
      <c r="Q110" s="49"/>
      <c r="R110" s="49"/>
      <c r="S110" s="49"/>
      <c r="T110" s="204"/>
      <c r="U110" s="118"/>
      <c r="V110" s="118"/>
      <c r="W110" s="118"/>
      <c r="X110" s="118"/>
      <c r="Y110" s="118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</row>
    <row r="111" spans="1:39" ht="15.75" customHeight="1" outlineLevel="1" x14ac:dyDescent="0.2">
      <c r="A111" s="184" t="s">
        <v>80</v>
      </c>
      <c r="B111" s="185" t="s">
        <v>245</v>
      </c>
      <c r="C111" s="156"/>
      <c r="D111" s="157"/>
      <c r="E111" s="186" t="s">
        <v>0</v>
      </c>
      <c r="F111" s="118"/>
      <c r="G111" s="118"/>
      <c r="H111" s="118"/>
      <c r="I111" s="118"/>
      <c r="J111" s="118"/>
      <c r="K111" s="187"/>
      <c r="L111" s="188" t="s">
        <v>80</v>
      </c>
      <c r="M111" s="118"/>
      <c r="N111" s="118"/>
      <c r="O111" s="118"/>
      <c r="P111" s="187"/>
      <c r="Q111" s="158" t="s">
        <v>245</v>
      </c>
      <c r="R111" s="129"/>
      <c r="S111" s="130"/>
      <c r="T111" s="186" t="s">
        <v>0</v>
      </c>
      <c r="U111" s="118"/>
      <c r="V111" s="118"/>
      <c r="W111" s="118"/>
      <c r="X111" s="118"/>
      <c r="Y111" s="141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</row>
    <row r="112" spans="1:39" ht="15.75" customHeight="1" outlineLevel="1" x14ac:dyDescent="0.2">
      <c r="A112" s="167"/>
      <c r="B112" s="24" t="s">
        <v>23</v>
      </c>
      <c r="C112" s="24" t="s">
        <v>24</v>
      </c>
      <c r="D112" s="24" t="s">
        <v>25</v>
      </c>
      <c r="E112" s="160"/>
      <c r="F112" s="156"/>
      <c r="G112" s="156"/>
      <c r="H112" s="156"/>
      <c r="I112" s="156"/>
      <c r="J112" s="156"/>
      <c r="K112" s="157"/>
      <c r="L112" s="160"/>
      <c r="M112" s="156"/>
      <c r="N112" s="156"/>
      <c r="O112" s="156"/>
      <c r="P112" s="157"/>
      <c r="Q112" s="24" t="s">
        <v>23</v>
      </c>
      <c r="R112" s="24" t="s">
        <v>24</v>
      </c>
      <c r="S112" s="24" t="s">
        <v>25</v>
      </c>
      <c r="T112" s="160"/>
      <c r="U112" s="156"/>
      <c r="V112" s="156"/>
      <c r="W112" s="156"/>
      <c r="X112" s="156"/>
      <c r="Y112" s="162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</row>
    <row r="113" spans="1:39" ht="15.75" customHeight="1" outlineLevel="1" x14ac:dyDescent="0.2">
      <c r="A113" s="139" t="s">
        <v>253</v>
      </c>
      <c r="B113" s="122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38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</row>
    <row r="114" spans="1:39" ht="15.75" customHeight="1" outlineLevel="1" x14ac:dyDescent="0.2">
      <c r="A114" s="16" t="s">
        <v>59</v>
      </c>
      <c r="B114" s="17"/>
      <c r="C114" s="17"/>
      <c r="D114" s="54">
        <f t="shared" ref="D114:D117" si="27">SUM(B114:C114)</f>
        <v>0</v>
      </c>
      <c r="E114" s="171"/>
      <c r="F114" s="120"/>
      <c r="G114" s="120"/>
      <c r="H114" s="120"/>
      <c r="I114" s="120"/>
      <c r="J114" s="120"/>
      <c r="K114" s="121"/>
      <c r="L114" s="172" t="s">
        <v>85</v>
      </c>
      <c r="M114" s="120"/>
      <c r="N114" s="120"/>
      <c r="O114" s="120"/>
      <c r="P114" s="121"/>
      <c r="Q114" s="17"/>
      <c r="R114" s="17"/>
      <c r="S114" s="54">
        <f t="shared" ref="S114:S117" si="28">SUM(Q114:R114)</f>
        <v>0</v>
      </c>
      <c r="T114" s="171"/>
      <c r="U114" s="120"/>
      <c r="V114" s="120"/>
      <c r="W114" s="120"/>
      <c r="X114" s="120"/>
      <c r="Y114" s="140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</row>
    <row r="115" spans="1:39" ht="30" customHeight="1" outlineLevel="1" x14ac:dyDescent="0.2">
      <c r="A115" s="16" t="s">
        <v>60</v>
      </c>
      <c r="B115" s="17"/>
      <c r="C115" s="17"/>
      <c r="D115" s="54">
        <f t="shared" si="27"/>
        <v>0</v>
      </c>
      <c r="E115" s="171"/>
      <c r="F115" s="120"/>
      <c r="G115" s="120"/>
      <c r="H115" s="120"/>
      <c r="I115" s="120"/>
      <c r="J115" s="120"/>
      <c r="K115" s="121"/>
      <c r="L115" s="172" t="s">
        <v>86</v>
      </c>
      <c r="M115" s="120"/>
      <c r="N115" s="120"/>
      <c r="O115" s="120"/>
      <c r="P115" s="121"/>
      <c r="Q115" s="17"/>
      <c r="R115" s="17"/>
      <c r="S115" s="54">
        <f t="shared" si="28"/>
        <v>0</v>
      </c>
      <c r="T115" s="171"/>
      <c r="U115" s="120"/>
      <c r="V115" s="120"/>
      <c r="W115" s="120"/>
      <c r="X115" s="120"/>
      <c r="Y115" s="140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</row>
    <row r="116" spans="1:39" ht="15.75" customHeight="1" outlineLevel="1" x14ac:dyDescent="0.2">
      <c r="A116" s="16" t="s">
        <v>254</v>
      </c>
      <c r="B116" s="17"/>
      <c r="C116" s="17"/>
      <c r="D116" s="54">
        <f t="shared" si="27"/>
        <v>0</v>
      </c>
      <c r="E116" s="171"/>
      <c r="F116" s="120"/>
      <c r="G116" s="120"/>
      <c r="H116" s="120"/>
      <c r="I116" s="120"/>
      <c r="J116" s="120"/>
      <c r="K116" s="121"/>
      <c r="L116" s="172" t="s">
        <v>255</v>
      </c>
      <c r="M116" s="120"/>
      <c r="N116" s="120"/>
      <c r="O116" s="120"/>
      <c r="P116" s="121"/>
      <c r="Q116" s="17"/>
      <c r="R116" s="17"/>
      <c r="S116" s="54">
        <f t="shared" si="28"/>
        <v>0</v>
      </c>
      <c r="T116" s="171"/>
      <c r="U116" s="120"/>
      <c r="V116" s="120"/>
      <c r="W116" s="120"/>
      <c r="X116" s="120"/>
      <c r="Y116" s="140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</row>
    <row r="117" spans="1:39" ht="38.25" customHeight="1" outlineLevel="1" x14ac:dyDescent="0.2">
      <c r="A117" s="16" t="s">
        <v>256</v>
      </c>
      <c r="B117" s="17"/>
      <c r="C117" s="17"/>
      <c r="D117" s="54">
        <f t="shared" si="27"/>
        <v>0</v>
      </c>
      <c r="E117" s="171"/>
      <c r="F117" s="120"/>
      <c r="G117" s="120"/>
      <c r="H117" s="120"/>
      <c r="I117" s="120"/>
      <c r="J117" s="120"/>
      <c r="K117" s="121"/>
      <c r="L117" s="172" t="s">
        <v>87</v>
      </c>
      <c r="M117" s="120"/>
      <c r="N117" s="120"/>
      <c r="O117" s="120"/>
      <c r="P117" s="121"/>
      <c r="Q117" s="17"/>
      <c r="R117" s="17"/>
      <c r="S117" s="54">
        <f t="shared" si="28"/>
        <v>0</v>
      </c>
      <c r="T117" s="171"/>
      <c r="U117" s="120"/>
      <c r="V117" s="120"/>
      <c r="W117" s="120"/>
      <c r="X117" s="120"/>
      <c r="Y117" s="140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</row>
    <row r="118" spans="1:39" ht="15.75" customHeight="1" outlineLevel="1" x14ac:dyDescent="0.2">
      <c r="A118" s="184" t="s">
        <v>80</v>
      </c>
      <c r="B118" s="185" t="s">
        <v>245</v>
      </c>
      <c r="C118" s="156"/>
      <c r="D118" s="157"/>
      <c r="E118" s="186" t="s">
        <v>0</v>
      </c>
      <c r="F118" s="118"/>
      <c r="G118" s="118"/>
      <c r="H118" s="118"/>
      <c r="I118" s="118"/>
      <c r="J118" s="118"/>
      <c r="K118" s="187"/>
      <c r="L118" s="188" t="s">
        <v>80</v>
      </c>
      <c r="M118" s="118"/>
      <c r="N118" s="118"/>
      <c r="O118" s="118"/>
      <c r="P118" s="187"/>
      <c r="Q118" s="185" t="s">
        <v>245</v>
      </c>
      <c r="R118" s="156"/>
      <c r="S118" s="157"/>
      <c r="T118" s="186" t="s">
        <v>0</v>
      </c>
      <c r="U118" s="118"/>
      <c r="V118" s="118"/>
      <c r="W118" s="118"/>
      <c r="X118" s="118"/>
      <c r="Y118" s="141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</row>
    <row r="119" spans="1:39" ht="15.75" customHeight="1" outlineLevel="1" x14ac:dyDescent="0.2">
      <c r="A119" s="167"/>
      <c r="B119" s="24" t="s">
        <v>23</v>
      </c>
      <c r="C119" s="24" t="s">
        <v>24</v>
      </c>
      <c r="D119" s="24" t="s">
        <v>25</v>
      </c>
      <c r="E119" s="160"/>
      <c r="F119" s="156"/>
      <c r="G119" s="156"/>
      <c r="H119" s="156"/>
      <c r="I119" s="156"/>
      <c r="J119" s="156"/>
      <c r="K119" s="157"/>
      <c r="L119" s="160"/>
      <c r="M119" s="156"/>
      <c r="N119" s="156"/>
      <c r="O119" s="156"/>
      <c r="P119" s="157"/>
      <c r="Q119" s="24" t="s">
        <v>23</v>
      </c>
      <c r="R119" s="24" t="s">
        <v>24</v>
      </c>
      <c r="S119" s="24" t="s">
        <v>25</v>
      </c>
      <c r="T119" s="160"/>
      <c r="U119" s="156"/>
      <c r="V119" s="156"/>
      <c r="W119" s="156"/>
      <c r="X119" s="156"/>
      <c r="Y119" s="162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</row>
    <row r="120" spans="1:39" ht="15.75" customHeight="1" outlineLevel="1" x14ac:dyDescent="0.2">
      <c r="A120" s="21" t="s">
        <v>88</v>
      </c>
      <c r="B120" s="17"/>
      <c r="C120" s="17"/>
      <c r="D120" s="54">
        <f t="shared" ref="D120:D126" si="29">SUM(B120:C120)</f>
        <v>0</v>
      </c>
      <c r="E120" s="171"/>
      <c r="F120" s="120"/>
      <c r="G120" s="120"/>
      <c r="H120" s="120"/>
      <c r="I120" s="120"/>
      <c r="J120" s="120"/>
      <c r="K120" s="121"/>
      <c r="L120" s="172" t="s">
        <v>64</v>
      </c>
      <c r="M120" s="120"/>
      <c r="N120" s="120"/>
      <c r="O120" s="120"/>
      <c r="P120" s="121"/>
      <c r="Q120" s="17"/>
      <c r="R120" s="17"/>
      <c r="S120" s="54">
        <f t="shared" ref="S120:S125" si="30">SUM(Q120:R120)</f>
        <v>0</v>
      </c>
      <c r="T120" s="171"/>
      <c r="U120" s="120"/>
      <c r="V120" s="120"/>
      <c r="W120" s="120"/>
      <c r="X120" s="120"/>
      <c r="Y120" s="140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</row>
    <row r="121" spans="1:39" ht="15.75" customHeight="1" outlineLevel="1" x14ac:dyDescent="0.2">
      <c r="A121" s="21" t="s">
        <v>511</v>
      </c>
      <c r="B121" s="17"/>
      <c r="C121" s="17"/>
      <c r="D121" s="54">
        <f t="shared" si="29"/>
        <v>0</v>
      </c>
      <c r="E121" s="171"/>
      <c r="F121" s="120"/>
      <c r="G121" s="120"/>
      <c r="H121" s="120"/>
      <c r="I121" s="120"/>
      <c r="J121" s="120"/>
      <c r="K121" s="121"/>
      <c r="L121" s="190" t="s">
        <v>512</v>
      </c>
      <c r="M121" s="120"/>
      <c r="N121" s="120"/>
      <c r="O121" s="120"/>
      <c r="P121" s="121"/>
      <c r="Q121" s="17"/>
      <c r="R121" s="17"/>
      <c r="S121" s="54">
        <f t="shared" si="30"/>
        <v>0</v>
      </c>
      <c r="T121" s="171"/>
      <c r="U121" s="120"/>
      <c r="V121" s="120"/>
      <c r="W121" s="120"/>
      <c r="X121" s="120"/>
      <c r="Y121" s="140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</row>
    <row r="122" spans="1:39" ht="15.75" customHeight="1" outlineLevel="1" x14ac:dyDescent="0.2">
      <c r="A122" s="21" t="s">
        <v>513</v>
      </c>
      <c r="B122" s="17"/>
      <c r="C122" s="17"/>
      <c r="D122" s="54">
        <f t="shared" si="29"/>
        <v>0</v>
      </c>
      <c r="E122" s="171"/>
      <c r="F122" s="120"/>
      <c r="G122" s="120"/>
      <c r="H122" s="120"/>
      <c r="I122" s="120"/>
      <c r="J122" s="120"/>
      <c r="K122" s="121"/>
      <c r="L122" s="190" t="s">
        <v>65</v>
      </c>
      <c r="M122" s="120"/>
      <c r="N122" s="120"/>
      <c r="O122" s="120"/>
      <c r="P122" s="121"/>
      <c r="Q122" s="17"/>
      <c r="R122" s="17"/>
      <c r="S122" s="54">
        <f t="shared" si="30"/>
        <v>0</v>
      </c>
      <c r="T122" s="171"/>
      <c r="U122" s="120"/>
      <c r="V122" s="120"/>
      <c r="W122" s="120"/>
      <c r="X122" s="120"/>
      <c r="Y122" s="140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</row>
    <row r="123" spans="1:39" ht="15.75" customHeight="1" outlineLevel="1" x14ac:dyDescent="0.2">
      <c r="A123" s="16" t="s">
        <v>514</v>
      </c>
      <c r="B123" s="17"/>
      <c r="C123" s="17"/>
      <c r="D123" s="54">
        <f t="shared" si="29"/>
        <v>0</v>
      </c>
      <c r="E123" s="171"/>
      <c r="F123" s="120"/>
      <c r="G123" s="120"/>
      <c r="H123" s="120"/>
      <c r="I123" s="120"/>
      <c r="J123" s="120"/>
      <c r="K123" s="121"/>
      <c r="L123" s="172" t="s">
        <v>66</v>
      </c>
      <c r="M123" s="120"/>
      <c r="N123" s="120"/>
      <c r="O123" s="120"/>
      <c r="P123" s="121"/>
      <c r="Q123" s="17"/>
      <c r="R123" s="17"/>
      <c r="S123" s="54">
        <f t="shared" si="30"/>
        <v>0</v>
      </c>
      <c r="T123" s="171"/>
      <c r="U123" s="120"/>
      <c r="V123" s="120"/>
      <c r="W123" s="120"/>
      <c r="X123" s="120"/>
      <c r="Y123" s="140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</row>
    <row r="124" spans="1:39" ht="15.75" customHeight="1" outlineLevel="1" x14ac:dyDescent="0.2">
      <c r="A124" s="16" t="s">
        <v>61</v>
      </c>
      <c r="B124" s="17"/>
      <c r="C124" s="17"/>
      <c r="D124" s="54">
        <f t="shared" si="29"/>
        <v>0</v>
      </c>
      <c r="E124" s="171"/>
      <c r="F124" s="120"/>
      <c r="G124" s="120"/>
      <c r="H124" s="120"/>
      <c r="I124" s="120"/>
      <c r="J124" s="120"/>
      <c r="K124" s="121"/>
      <c r="L124" s="172" t="s">
        <v>67</v>
      </c>
      <c r="M124" s="120"/>
      <c r="N124" s="120"/>
      <c r="O124" s="120"/>
      <c r="P124" s="121"/>
      <c r="Q124" s="17"/>
      <c r="R124" s="17"/>
      <c r="S124" s="54">
        <f t="shared" si="30"/>
        <v>0</v>
      </c>
      <c r="T124" s="171"/>
      <c r="U124" s="120"/>
      <c r="V124" s="120"/>
      <c r="W124" s="120"/>
      <c r="X124" s="120"/>
      <c r="Y124" s="140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</row>
    <row r="125" spans="1:39" ht="15.75" customHeight="1" outlineLevel="1" x14ac:dyDescent="0.2">
      <c r="A125" s="16" t="s">
        <v>62</v>
      </c>
      <c r="B125" s="17"/>
      <c r="C125" s="17"/>
      <c r="D125" s="54">
        <f t="shared" si="29"/>
        <v>0</v>
      </c>
      <c r="E125" s="171"/>
      <c r="F125" s="120"/>
      <c r="G125" s="120"/>
      <c r="H125" s="120"/>
      <c r="I125" s="120"/>
      <c r="J125" s="120"/>
      <c r="K125" s="121"/>
      <c r="L125" s="172" t="s">
        <v>68</v>
      </c>
      <c r="M125" s="120"/>
      <c r="N125" s="120"/>
      <c r="O125" s="120"/>
      <c r="P125" s="121"/>
      <c r="Q125" s="17"/>
      <c r="R125" s="17"/>
      <c r="S125" s="54">
        <f t="shared" si="30"/>
        <v>0</v>
      </c>
      <c r="T125" s="171"/>
      <c r="U125" s="120"/>
      <c r="V125" s="120"/>
      <c r="W125" s="120"/>
      <c r="X125" s="120"/>
      <c r="Y125" s="140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</row>
    <row r="126" spans="1:39" ht="15.75" customHeight="1" outlineLevel="1" x14ac:dyDescent="0.2">
      <c r="A126" s="16" t="s">
        <v>63</v>
      </c>
      <c r="B126" s="17"/>
      <c r="C126" s="17"/>
      <c r="D126" s="54">
        <f t="shared" si="29"/>
        <v>0</v>
      </c>
      <c r="E126" s="171"/>
      <c r="F126" s="120"/>
      <c r="G126" s="120"/>
      <c r="H126" s="120"/>
      <c r="I126" s="120"/>
      <c r="J126" s="120"/>
      <c r="K126" s="121"/>
      <c r="L126" s="194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41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</row>
    <row r="127" spans="1:39" ht="15.75" customHeight="1" outlineLevel="1" x14ac:dyDescent="0.2">
      <c r="A127" s="184" t="s">
        <v>80</v>
      </c>
      <c r="B127" s="185" t="s">
        <v>245</v>
      </c>
      <c r="C127" s="156"/>
      <c r="D127" s="157"/>
      <c r="E127" s="186" t="s">
        <v>0</v>
      </c>
      <c r="F127" s="118"/>
      <c r="G127" s="118"/>
      <c r="H127" s="118"/>
      <c r="I127" s="118"/>
      <c r="J127" s="118"/>
      <c r="K127" s="187"/>
      <c r="L127" s="188" t="s">
        <v>80</v>
      </c>
      <c r="M127" s="118"/>
      <c r="N127" s="118"/>
      <c r="O127" s="118"/>
      <c r="P127" s="187"/>
      <c r="Q127" s="185" t="s">
        <v>245</v>
      </c>
      <c r="R127" s="156"/>
      <c r="S127" s="157"/>
      <c r="T127" s="186" t="s">
        <v>0</v>
      </c>
      <c r="U127" s="118"/>
      <c r="V127" s="118"/>
      <c r="W127" s="118"/>
      <c r="X127" s="118"/>
      <c r="Y127" s="141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</row>
    <row r="128" spans="1:39" ht="15.75" customHeight="1" outlineLevel="1" x14ac:dyDescent="0.2">
      <c r="A128" s="167"/>
      <c r="B128" s="24" t="s">
        <v>23</v>
      </c>
      <c r="C128" s="24" t="s">
        <v>24</v>
      </c>
      <c r="D128" s="24" t="s">
        <v>25</v>
      </c>
      <c r="E128" s="160"/>
      <c r="F128" s="156"/>
      <c r="G128" s="156"/>
      <c r="H128" s="156"/>
      <c r="I128" s="156"/>
      <c r="J128" s="156"/>
      <c r="K128" s="157"/>
      <c r="L128" s="160"/>
      <c r="M128" s="156"/>
      <c r="N128" s="156"/>
      <c r="O128" s="156"/>
      <c r="P128" s="157"/>
      <c r="Q128" s="24" t="s">
        <v>23</v>
      </c>
      <c r="R128" s="24" t="s">
        <v>24</v>
      </c>
      <c r="S128" s="24" t="s">
        <v>25</v>
      </c>
      <c r="T128" s="160"/>
      <c r="U128" s="156"/>
      <c r="V128" s="156"/>
      <c r="W128" s="156"/>
      <c r="X128" s="156"/>
      <c r="Y128" s="162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</row>
    <row r="129" spans="1:39" ht="15.75" customHeight="1" outlineLevel="1" x14ac:dyDescent="0.2">
      <c r="A129" s="139" t="s">
        <v>257</v>
      </c>
      <c r="B129" s="122"/>
      <c r="C129" s="122"/>
      <c r="D129" s="122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38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</row>
    <row r="130" spans="1:39" ht="19.5" customHeight="1" outlineLevel="1" x14ac:dyDescent="0.2">
      <c r="A130" s="20" t="s">
        <v>69</v>
      </c>
      <c r="B130" s="17"/>
      <c r="C130" s="17"/>
      <c r="D130" s="54">
        <f t="shared" ref="D130:D136" si="31">SUM(B130:C130)</f>
        <v>0</v>
      </c>
      <c r="E130" s="171"/>
      <c r="F130" s="120"/>
      <c r="G130" s="120"/>
      <c r="H130" s="120"/>
      <c r="I130" s="120"/>
      <c r="J130" s="120"/>
      <c r="K130" s="121"/>
      <c r="L130" s="172" t="s">
        <v>74</v>
      </c>
      <c r="M130" s="120"/>
      <c r="N130" s="120"/>
      <c r="O130" s="120"/>
      <c r="P130" s="121"/>
      <c r="Q130" s="17"/>
      <c r="R130" s="17"/>
      <c r="S130" s="54">
        <f t="shared" ref="S130:S135" si="32">SUM(Q130:R130)</f>
        <v>0</v>
      </c>
      <c r="T130" s="171"/>
      <c r="U130" s="120"/>
      <c r="V130" s="120"/>
      <c r="W130" s="120"/>
      <c r="X130" s="120"/>
      <c r="Y130" s="140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</row>
    <row r="131" spans="1:39" ht="27" customHeight="1" outlineLevel="1" x14ac:dyDescent="0.2">
      <c r="A131" s="20" t="s">
        <v>70</v>
      </c>
      <c r="B131" s="17"/>
      <c r="C131" s="17"/>
      <c r="D131" s="54">
        <f t="shared" si="31"/>
        <v>0</v>
      </c>
      <c r="E131" s="171"/>
      <c r="F131" s="120"/>
      <c r="G131" s="120"/>
      <c r="H131" s="120"/>
      <c r="I131" s="120"/>
      <c r="J131" s="120"/>
      <c r="K131" s="121"/>
      <c r="L131" s="172" t="s">
        <v>75</v>
      </c>
      <c r="M131" s="120"/>
      <c r="N131" s="120"/>
      <c r="O131" s="120"/>
      <c r="P131" s="121"/>
      <c r="Q131" s="28">
        <f t="shared" ref="Q131:R131" si="33">SUM(Q132:Q135)</f>
        <v>0</v>
      </c>
      <c r="R131" s="28">
        <f t="shared" si="33"/>
        <v>0</v>
      </c>
      <c r="S131" s="54">
        <f t="shared" si="32"/>
        <v>0</v>
      </c>
      <c r="T131" s="171"/>
      <c r="U131" s="120"/>
      <c r="V131" s="120"/>
      <c r="W131" s="120"/>
      <c r="X131" s="120"/>
      <c r="Y131" s="140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</row>
    <row r="132" spans="1:39" ht="52.5" outlineLevel="1" x14ac:dyDescent="0.2">
      <c r="A132" s="20" t="s">
        <v>258</v>
      </c>
      <c r="B132" s="17"/>
      <c r="C132" s="17"/>
      <c r="D132" s="54">
        <f t="shared" si="31"/>
        <v>0</v>
      </c>
      <c r="E132" s="171"/>
      <c r="F132" s="120"/>
      <c r="G132" s="120"/>
      <c r="H132" s="120"/>
      <c r="I132" s="120"/>
      <c r="J132" s="120"/>
      <c r="K132" s="121"/>
      <c r="L132" s="55" t="s">
        <v>76</v>
      </c>
      <c r="M132" s="56"/>
      <c r="N132" s="56"/>
      <c r="O132" s="56"/>
      <c r="P132" s="57"/>
      <c r="Q132" s="17"/>
      <c r="R132" s="17"/>
      <c r="S132" s="54">
        <f t="shared" si="32"/>
        <v>0</v>
      </c>
      <c r="T132" s="171"/>
      <c r="U132" s="120"/>
      <c r="V132" s="120"/>
      <c r="W132" s="120"/>
      <c r="X132" s="120"/>
      <c r="Y132" s="140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</row>
    <row r="133" spans="1:39" ht="26.25" customHeight="1" outlineLevel="1" x14ac:dyDescent="0.2">
      <c r="A133" s="20" t="s">
        <v>259</v>
      </c>
      <c r="B133" s="17"/>
      <c r="C133" s="17"/>
      <c r="D133" s="54">
        <f t="shared" si="31"/>
        <v>0</v>
      </c>
      <c r="E133" s="171"/>
      <c r="F133" s="120"/>
      <c r="G133" s="120"/>
      <c r="H133" s="120"/>
      <c r="I133" s="120"/>
      <c r="J133" s="120"/>
      <c r="K133" s="121"/>
      <c r="L133" s="55" t="s">
        <v>77</v>
      </c>
      <c r="M133" s="56"/>
      <c r="N133" s="56"/>
      <c r="O133" s="56"/>
      <c r="P133" s="57"/>
      <c r="Q133" s="17"/>
      <c r="R133" s="17"/>
      <c r="S133" s="54">
        <f t="shared" si="32"/>
        <v>0</v>
      </c>
      <c r="T133" s="171"/>
      <c r="U133" s="120"/>
      <c r="V133" s="120"/>
      <c r="W133" s="120"/>
      <c r="X133" s="120"/>
      <c r="Y133" s="140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</row>
    <row r="134" spans="1:39" ht="15.75" customHeight="1" outlineLevel="1" x14ac:dyDescent="0.2">
      <c r="A134" s="16" t="s">
        <v>71</v>
      </c>
      <c r="B134" s="17"/>
      <c r="C134" s="17"/>
      <c r="D134" s="54">
        <f t="shared" si="31"/>
        <v>0</v>
      </c>
      <c r="E134" s="171"/>
      <c r="F134" s="120"/>
      <c r="G134" s="120"/>
      <c r="H134" s="120"/>
      <c r="I134" s="120"/>
      <c r="J134" s="120"/>
      <c r="K134" s="121"/>
      <c r="L134" s="55" t="s">
        <v>78</v>
      </c>
      <c r="M134" s="56"/>
      <c r="N134" s="56"/>
      <c r="O134" s="56"/>
      <c r="P134" s="57"/>
      <c r="Q134" s="17"/>
      <c r="R134" s="17"/>
      <c r="S134" s="54">
        <f t="shared" si="32"/>
        <v>0</v>
      </c>
      <c r="T134" s="171"/>
      <c r="U134" s="120"/>
      <c r="V134" s="120"/>
      <c r="W134" s="120"/>
      <c r="X134" s="120"/>
      <c r="Y134" s="140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</row>
    <row r="135" spans="1:39" ht="15.75" customHeight="1" outlineLevel="1" x14ac:dyDescent="0.2">
      <c r="A135" s="16" t="s">
        <v>72</v>
      </c>
      <c r="B135" s="17"/>
      <c r="C135" s="17"/>
      <c r="D135" s="54">
        <f t="shared" si="31"/>
        <v>0</v>
      </c>
      <c r="E135" s="171"/>
      <c r="F135" s="120"/>
      <c r="G135" s="120"/>
      <c r="H135" s="120"/>
      <c r="I135" s="120"/>
      <c r="J135" s="120"/>
      <c r="K135" s="121"/>
      <c r="L135" s="55" t="s">
        <v>79</v>
      </c>
      <c r="M135" s="56"/>
      <c r="N135" s="56"/>
      <c r="O135" s="56"/>
      <c r="P135" s="57"/>
      <c r="Q135" s="17"/>
      <c r="R135" s="17"/>
      <c r="S135" s="54">
        <f t="shared" si="32"/>
        <v>0</v>
      </c>
      <c r="T135" s="171"/>
      <c r="U135" s="120"/>
      <c r="V135" s="120"/>
      <c r="W135" s="120"/>
      <c r="X135" s="120"/>
      <c r="Y135" s="140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</row>
    <row r="136" spans="1:39" ht="15.75" customHeight="1" outlineLevel="1" x14ac:dyDescent="0.2">
      <c r="A136" s="58" t="s">
        <v>73</v>
      </c>
      <c r="B136" s="17"/>
      <c r="C136" s="17"/>
      <c r="D136" s="54">
        <f t="shared" si="31"/>
        <v>0</v>
      </c>
      <c r="E136" s="171"/>
      <c r="F136" s="120"/>
      <c r="G136" s="120"/>
      <c r="H136" s="120"/>
      <c r="I136" s="120"/>
      <c r="J136" s="120"/>
      <c r="K136" s="121"/>
      <c r="L136" s="194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41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</row>
    <row r="137" spans="1:39" ht="15.75" customHeight="1" x14ac:dyDescent="0.2">
      <c r="A137" s="180" t="s">
        <v>260</v>
      </c>
      <c r="B137" s="156"/>
      <c r="C137" s="156"/>
      <c r="D137" s="156"/>
      <c r="E137" s="156"/>
      <c r="F137" s="156"/>
      <c r="G137" s="156"/>
      <c r="H137" s="156"/>
      <c r="I137" s="156"/>
      <c r="J137" s="156"/>
      <c r="K137" s="156"/>
      <c r="L137" s="156"/>
      <c r="M137" s="156"/>
      <c r="N137" s="156"/>
      <c r="O137" s="156"/>
      <c r="P137" s="156"/>
      <c r="Q137" s="156"/>
      <c r="R137" s="156"/>
      <c r="S137" s="156"/>
      <c r="T137" s="156"/>
      <c r="U137" s="156"/>
      <c r="V137" s="156"/>
      <c r="W137" s="156"/>
      <c r="X137" s="156"/>
      <c r="Y137" s="162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</row>
    <row r="138" spans="1:39" ht="15.75" customHeight="1" outlineLevel="1" x14ac:dyDescent="0.2">
      <c r="A138" s="165" t="s">
        <v>80</v>
      </c>
      <c r="B138" s="158" t="s">
        <v>245</v>
      </c>
      <c r="C138" s="130"/>
      <c r="D138" s="168" t="s">
        <v>25</v>
      </c>
      <c r="E138" s="159" t="s">
        <v>0</v>
      </c>
      <c r="F138" s="153"/>
      <c r="G138" s="153"/>
      <c r="H138" s="153"/>
      <c r="I138" s="153"/>
      <c r="J138" s="153"/>
      <c r="K138" s="154"/>
      <c r="L138" s="179" t="s">
        <v>80</v>
      </c>
      <c r="M138" s="153"/>
      <c r="N138" s="153"/>
      <c r="O138" s="154"/>
      <c r="P138" s="158" t="s">
        <v>245</v>
      </c>
      <c r="Q138" s="130"/>
      <c r="R138" s="168" t="s">
        <v>25</v>
      </c>
      <c r="S138" s="159" t="s">
        <v>0</v>
      </c>
      <c r="T138" s="153"/>
      <c r="U138" s="153"/>
      <c r="V138" s="153"/>
      <c r="W138" s="153"/>
      <c r="X138" s="153"/>
      <c r="Y138" s="161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</row>
    <row r="139" spans="1:39" ht="15.75" customHeight="1" outlineLevel="1" x14ac:dyDescent="0.2">
      <c r="A139" s="167"/>
      <c r="B139" s="24" t="s">
        <v>23</v>
      </c>
      <c r="C139" s="24" t="s">
        <v>24</v>
      </c>
      <c r="D139" s="128"/>
      <c r="E139" s="160"/>
      <c r="F139" s="156"/>
      <c r="G139" s="156"/>
      <c r="H139" s="156"/>
      <c r="I139" s="156"/>
      <c r="J139" s="156"/>
      <c r="K139" s="157"/>
      <c r="L139" s="160"/>
      <c r="M139" s="156"/>
      <c r="N139" s="156"/>
      <c r="O139" s="157"/>
      <c r="P139" s="24" t="s">
        <v>23</v>
      </c>
      <c r="Q139" s="24" t="s">
        <v>24</v>
      </c>
      <c r="R139" s="128"/>
      <c r="S139" s="160"/>
      <c r="T139" s="156"/>
      <c r="U139" s="156"/>
      <c r="V139" s="156"/>
      <c r="W139" s="156"/>
      <c r="X139" s="156"/>
      <c r="Y139" s="162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</row>
    <row r="140" spans="1:39" ht="15.75" customHeight="1" outlineLevel="1" x14ac:dyDescent="0.2">
      <c r="A140" s="193" t="s">
        <v>261</v>
      </c>
      <c r="B140" s="122"/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38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</row>
    <row r="141" spans="1:39" ht="15.75" customHeight="1" outlineLevel="1" x14ac:dyDescent="0.2">
      <c r="A141" s="59" t="s">
        <v>515</v>
      </c>
      <c r="B141" s="9"/>
      <c r="C141" s="9"/>
      <c r="D141" s="60">
        <f>SUM(B141:C141)</f>
        <v>0</v>
      </c>
      <c r="E141" s="192"/>
      <c r="F141" s="122"/>
      <c r="G141" s="122"/>
      <c r="H141" s="122"/>
      <c r="I141" s="122"/>
      <c r="J141" s="122"/>
      <c r="K141" s="131"/>
      <c r="L141" s="195" t="s">
        <v>262</v>
      </c>
      <c r="M141" s="122"/>
      <c r="N141" s="122"/>
      <c r="O141" s="131"/>
      <c r="P141" s="60">
        <f t="shared" ref="P141:R141" si="34">SUM(P142:P143)</f>
        <v>0</v>
      </c>
      <c r="Q141" s="60">
        <f t="shared" si="34"/>
        <v>0</v>
      </c>
      <c r="R141" s="60">
        <f t="shared" si="34"/>
        <v>0</v>
      </c>
      <c r="S141" s="192"/>
      <c r="T141" s="122"/>
      <c r="U141" s="122"/>
      <c r="V141" s="122"/>
      <c r="W141" s="122"/>
      <c r="X141" s="122"/>
      <c r="Y141" s="138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</row>
    <row r="142" spans="1:39" ht="15.75" customHeight="1" outlineLevel="1" x14ac:dyDescent="0.2">
      <c r="A142" s="16" t="s">
        <v>263</v>
      </c>
      <c r="B142" s="54">
        <f t="shared" ref="B142:D142" si="35">SUM(B143:B144)</f>
        <v>0</v>
      </c>
      <c r="C142" s="54">
        <f t="shared" si="35"/>
        <v>0</v>
      </c>
      <c r="D142" s="54">
        <f t="shared" si="35"/>
        <v>0</v>
      </c>
      <c r="E142" s="171"/>
      <c r="F142" s="120"/>
      <c r="G142" s="120"/>
      <c r="H142" s="120"/>
      <c r="I142" s="120"/>
      <c r="J142" s="120"/>
      <c r="K142" s="121"/>
      <c r="L142" s="172" t="s">
        <v>516</v>
      </c>
      <c r="M142" s="120"/>
      <c r="N142" s="120"/>
      <c r="O142" s="121"/>
      <c r="P142" s="17"/>
      <c r="Q142" s="17"/>
      <c r="R142" s="54">
        <f t="shared" ref="R142:R143" si="36">SUM(P142:Q142)</f>
        <v>0</v>
      </c>
      <c r="S142" s="171"/>
      <c r="T142" s="120"/>
      <c r="U142" s="120"/>
      <c r="V142" s="120"/>
      <c r="W142" s="120"/>
      <c r="X142" s="120"/>
      <c r="Y142" s="140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</row>
    <row r="143" spans="1:39" ht="15.75" customHeight="1" outlineLevel="1" x14ac:dyDescent="0.2">
      <c r="A143" s="16" t="s">
        <v>517</v>
      </c>
      <c r="B143" s="17"/>
      <c r="C143" s="17"/>
      <c r="D143" s="54">
        <f t="shared" ref="D143:D144" si="37">SUM(B143:C143)</f>
        <v>0</v>
      </c>
      <c r="E143" s="171"/>
      <c r="F143" s="120"/>
      <c r="G143" s="120"/>
      <c r="H143" s="120"/>
      <c r="I143" s="120"/>
      <c r="J143" s="120"/>
      <c r="K143" s="121"/>
      <c r="L143" s="172" t="s">
        <v>518</v>
      </c>
      <c r="M143" s="120"/>
      <c r="N143" s="120"/>
      <c r="O143" s="121"/>
      <c r="P143" s="17"/>
      <c r="Q143" s="17"/>
      <c r="R143" s="54">
        <f t="shared" si="36"/>
        <v>0</v>
      </c>
      <c r="S143" s="171"/>
      <c r="T143" s="120"/>
      <c r="U143" s="120"/>
      <c r="V143" s="120"/>
      <c r="W143" s="120"/>
      <c r="X143" s="120"/>
      <c r="Y143" s="140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</row>
    <row r="144" spans="1:39" ht="15.75" customHeight="1" outlineLevel="1" x14ac:dyDescent="0.2">
      <c r="A144" s="16" t="s">
        <v>519</v>
      </c>
      <c r="B144" s="17"/>
      <c r="C144" s="17"/>
      <c r="D144" s="54">
        <f t="shared" si="37"/>
        <v>0</v>
      </c>
      <c r="E144" s="171"/>
      <c r="F144" s="120"/>
      <c r="G144" s="120"/>
      <c r="H144" s="120"/>
      <c r="I144" s="120"/>
      <c r="J144" s="120"/>
      <c r="K144" s="121"/>
      <c r="L144" s="172" t="s">
        <v>264</v>
      </c>
      <c r="M144" s="120"/>
      <c r="N144" s="120"/>
      <c r="O144" s="121"/>
      <c r="P144" s="54">
        <f t="shared" ref="P144:R144" si="38">SUM(P145:P146)</f>
        <v>0</v>
      </c>
      <c r="Q144" s="54">
        <f t="shared" si="38"/>
        <v>0</v>
      </c>
      <c r="R144" s="54">
        <f t="shared" si="38"/>
        <v>0</v>
      </c>
      <c r="S144" s="171"/>
      <c r="T144" s="120"/>
      <c r="U144" s="120"/>
      <c r="V144" s="120"/>
      <c r="W144" s="120"/>
      <c r="X144" s="120"/>
      <c r="Y144" s="140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</row>
    <row r="145" spans="1:39" ht="15.75" customHeight="1" outlineLevel="1" x14ac:dyDescent="0.2">
      <c r="A145" s="16" t="s">
        <v>265</v>
      </c>
      <c r="B145" s="54">
        <f t="shared" ref="B145:D145" si="39">SUM(B146:B147)</f>
        <v>0</v>
      </c>
      <c r="C145" s="54">
        <f t="shared" si="39"/>
        <v>0</v>
      </c>
      <c r="D145" s="54">
        <f t="shared" si="39"/>
        <v>0</v>
      </c>
      <c r="E145" s="171"/>
      <c r="F145" s="120"/>
      <c r="G145" s="120"/>
      <c r="H145" s="120"/>
      <c r="I145" s="120"/>
      <c r="J145" s="120"/>
      <c r="K145" s="121"/>
      <c r="L145" s="172" t="s">
        <v>520</v>
      </c>
      <c r="M145" s="120"/>
      <c r="N145" s="120"/>
      <c r="O145" s="121"/>
      <c r="P145" s="17"/>
      <c r="Q145" s="17"/>
      <c r="R145" s="54">
        <f t="shared" ref="R145:R146" si="40">SUM(P145:Q145)</f>
        <v>0</v>
      </c>
      <c r="S145" s="171"/>
      <c r="T145" s="120"/>
      <c r="U145" s="120"/>
      <c r="V145" s="120"/>
      <c r="W145" s="120"/>
      <c r="X145" s="120"/>
      <c r="Y145" s="140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</row>
    <row r="146" spans="1:39" ht="15.75" customHeight="1" outlineLevel="1" x14ac:dyDescent="0.2">
      <c r="A146" s="16" t="s">
        <v>521</v>
      </c>
      <c r="B146" s="17"/>
      <c r="C146" s="17"/>
      <c r="D146" s="54">
        <f t="shared" ref="D146:D147" si="41">SUM(B146:C146)</f>
        <v>0</v>
      </c>
      <c r="E146" s="171"/>
      <c r="F146" s="120"/>
      <c r="G146" s="120"/>
      <c r="H146" s="120"/>
      <c r="I146" s="120"/>
      <c r="J146" s="120"/>
      <c r="K146" s="121"/>
      <c r="L146" s="172" t="s">
        <v>522</v>
      </c>
      <c r="M146" s="120"/>
      <c r="N146" s="120"/>
      <c r="O146" s="121"/>
      <c r="P146" s="17"/>
      <c r="Q146" s="17"/>
      <c r="R146" s="54">
        <f t="shared" si="40"/>
        <v>0</v>
      </c>
      <c r="S146" s="171"/>
      <c r="T146" s="120"/>
      <c r="U146" s="120"/>
      <c r="V146" s="120"/>
      <c r="W146" s="120"/>
      <c r="X146" s="120"/>
      <c r="Y146" s="140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</row>
    <row r="147" spans="1:39" ht="15.75" customHeight="1" outlineLevel="1" x14ac:dyDescent="0.2">
      <c r="A147" s="16" t="s">
        <v>523</v>
      </c>
      <c r="B147" s="17"/>
      <c r="C147" s="17"/>
      <c r="D147" s="54">
        <f t="shared" si="41"/>
        <v>0</v>
      </c>
      <c r="E147" s="171"/>
      <c r="F147" s="120"/>
      <c r="G147" s="120"/>
      <c r="H147" s="120"/>
      <c r="I147" s="120"/>
      <c r="J147" s="120"/>
      <c r="K147" s="121"/>
      <c r="L147" s="172" t="s">
        <v>266</v>
      </c>
      <c r="M147" s="120"/>
      <c r="N147" s="120"/>
      <c r="O147" s="121"/>
      <c r="P147" s="54">
        <f t="shared" ref="P147:R147" si="42">SUM(P148:P149)</f>
        <v>0</v>
      </c>
      <c r="Q147" s="54">
        <f t="shared" si="42"/>
        <v>0</v>
      </c>
      <c r="R147" s="54">
        <f t="shared" si="42"/>
        <v>0</v>
      </c>
      <c r="S147" s="171"/>
      <c r="T147" s="120"/>
      <c r="U147" s="120"/>
      <c r="V147" s="120"/>
      <c r="W147" s="120"/>
      <c r="X147" s="120"/>
      <c r="Y147" s="140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</row>
    <row r="148" spans="1:39" ht="15.75" customHeight="1" outlineLevel="1" x14ac:dyDescent="0.2">
      <c r="A148" s="16" t="s">
        <v>267</v>
      </c>
      <c r="B148" s="54">
        <f t="shared" ref="B148:D148" si="43">SUM(B149:B150)</f>
        <v>0</v>
      </c>
      <c r="C148" s="54">
        <f t="shared" si="43"/>
        <v>0</v>
      </c>
      <c r="D148" s="54">
        <f t="shared" si="43"/>
        <v>0</v>
      </c>
      <c r="E148" s="171"/>
      <c r="F148" s="120"/>
      <c r="G148" s="120"/>
      <c r="H148" s="120"/>
      <c r="I148" s="120"/>
      <c r="J148" s="120"/>
      <c r="K148" s="121"/>
      <c r="L148" s="172" t="s">
        <v>524</v>
      </c>
      <c r="M148" s="120"/>
      <c r="N148" s="120"/>
      <c r="O148" s="121"/>
      <c r="P148" s="17"/>
      <c r="Q148" s="17"/>
      <c r="R148" s="54">
        <f t="shared" ref="R148:R149" si="44">SUM(P148:Q148)</f>
        <v>0</v>
      </c>
      <c r="S148" s="171"/>
      <c r="T148" s="120"/>
      <c r="U148" s="120"/>
      <c r="V148" s="120"/>
      <c r="W148" s="120"/>
      <c r="X148" s="120"/>
      <c r="Y148" s="140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</row>
    <row r="149" spans="1:39" ht="15.75" customHeight="1" outlineLevel="1" x14ac:dyDescent="0.2">
      <c r="A149" s="16" t="s">
        <v>525</v>
      </c>
      <c r="B149" s="17"/>
      <c r="C149" s="17"/>
      <c r="D149" s="54">
        <f t="shared" ref="D149:D150" si="45">SUM(B149:C149)</f>
        <v>0</v>
      </c>
      <c r="E149" s="171"/>
      <c r="F149" s="120"/>
      <c r="G149" s="120"/>
      <c r="H149" s="120"/>
      <c r="I149" s="120"/>
      <c r="J149" s="120"/>
      <c r="K149" s="121"/>
      <c r="L149" s="172" t="s">
        <v>526</v>
      </c>
      <c r="M149" s="120"/>
      <c r="N149" s="120"/>
      <c r="O149" s="121"/>
      <c r="P149" s="17"/>
      <c r="Q149" s="17"/>
      <c r="R149" s="54">
        <f t="shared" si="44"/>
        <v>0</v>
      </c>
      <c r="S149" s="171"/>
      <c r="T149" s="120"/>
      <c r="U149" s="120"/>
      <c r="V149" s="120"/>
      <c r="W149" s="120"/>
      <c r="X149" s="120"/>
      <c r="Y149" s="140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</row>
    <row r="150" spans="1:39" ht="15.75" customHeight="1" outlineLevel="1" x14ac:dyDescent="0.2">
      <c r="A150" s="16" t="s">
        <v>527</v>
      </c>
      <c r="B150" s="17"/>
      <c r="C150" s="17"/>
      <c r="D150" s="54">
        <f t="shared" si="45"/>
        <v>0</v>
      </c>
      <c r="E150" s="171"/>
      <c r="F150" s="120"/>
      <c r="G150" s="120"/>
      <c r="H150" s="120"/>
      <c r="I150" s="120"/>
      <c r="J150" s="120"/>
      <c r="K150" s="121"/>
      <c r="L150" s="172" t="s">
        <v>268</v>
      </c>
      <c r="M150" s="120"/>
      <c r="N150" s="120"/>
      <c r="O150" s="121"/>
      <c r="P150" s="54">
        <f t="shared" ref="P150:R150" si="46">SUM(P151:P152)</f>
        <v>0</v>
      </c>
      <c r="Q150" s="54">
        <f t="shared" si="46"/>
        <v>0</v>
      </c>
      <c r="R150" s="54">
        <f t="shared" si="46"/>
        <v>0</v>
      </c>
      <c r="S150" s="171"/>
      <c r="T150" s="120"/>
      <c r="U150" s="120"/>
      <c r="V150" s="120"/>
      <c r="W150" s="120"/>
      <c r="X150" s="120"/>
      <c r="Y150" s="140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</row>
    <row r="151" spans="1:39" ht="15.75" customHeight="1" outlineLevel="1" x14ac:dyDescent="0.2">
      <c r="A151" s="16" t="s">
        <v>269</v>
      </c>
      <c r="B151" s="54">
        <f t="shared" ref="B151:D151" si="47">SUM(B152:B153)</f>
        <v>0</v>
      </c>
      <c r="C151" s="54">
        <f t="shared" si="47"/>
        <v>0</v>
      </c>
      <c r="D151" s="54">
        <f t="shared" si="47"/>
        <v>0</v>
      </c>
      <c r="E151" s="171"/>
      <c r="F151" s="120"/>
      <c r="G151" s="120"/>
      <c r="H151" s="120"/>
      <c r="I151" s="120"/>
      <c r="J151" s="120"/>
      <c r="K151" s="121"/>
      <c r="L151" s="172" t="s">
        <v>528</v>
      </c>
      <c r="M151" s="120"/>
      <c r="N151" s="120"/>
      <c r="O151" s="121"/>
      <c r="P151" s="17"/>
      <c r="Q151" s="17"/>
      <c r="R151" s="54">
        <f t="shared" ref="R151:R152" si="48">SUM(P151:Q151)</f>
        <v>0</v>
      </c>
      <c r="S151" s="171"/>
      <c r="T151" s="120"/>
      <c r="U151" s="120"/>
      <c r="V151" s="120"/>
      <c r="W151" s="120"/>
      <c r="X151" s="120"/>
      <c r="Y151" s="140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</row>
    <row r="152" spans="1:39" ht="15.75" customHeight="1" outlineLevel="1" x14ac:dyDescent="0.2">
      <c r="A152" s="16" t="s">
        <v>529</v>
      </c>
      <c r="B152" s="17"/>
      <c r="C152" s="17"/>
      <c r="D152" s="54">
        <f t="shared" ref="D152:D153" si="49">SUM(B152:C152)</f>
        <v>0</v>
      </c>
      <c r="E152" s="171"/>
      <c r="F152" s="120"/>
      <c r="G152" s="120"/>
      <c r="H152" s="120"/>
      <c r="I152" s="120"/>
      <c r="J152" s="120"/>
      <c r="K152" s="121"/>
      <c r="L152" s="172" t="s">
        <v>530</v>
      </c>
      <c r="M152" s="120"/>
      <c r="N152" s="120"/>
      <c r="O152" s="121"/>
      <c r="P152" s="17"/>
      <c r="Q152" s="17"/>
      <c r="R152" s="54">
        <f t="shared" si="48"/>
        <v>0</v>
      </c>
      <c r="S152" s="171"/>
      <c r="T152" s="120"/>
      <c r="U152" s="120"/>
      <c r="V152" s="120"/>
      <c r="W152" s="120"/>
      <c r="X152" s="120"/>
      <c r="Y152" s="140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</row>
    <row r="153" spans="1:39" ht="15.75" customHeight="1" outlineLevel="1" x14ac:dyDescent="0.2">
      <c r="A153" s="16" t="s">
        <v>531</v>
      </c>
      <c r="B153" s="17"/>
      <c r="C153" s="17"/>
      <c r="D153" s="54">
        <f t="shared" si="49"/>
        <v>0</v>
      </c>
      <c r="E153" s="171"/>
      <c r="F153" s="120"/>
      <c r="G153" s="120"/>
      <c r="H153" s="120"/>
      <c r="I153" s="120"/>
      <c r="J153" s="120"/>
      <c r="K153" s="121"/>
      <c r="L153" s="172" t="s">
        <v>270</v>
      </c>
      <c r="M153" s="120"/>
      <c r="N153" s="120"/>
      <c r="O153" s="121"/>
      <c r="P153" s="54">
        <f t="shared" ref="P153:R153" si="50">SUM(P154:P155)</f>
        <v>0</v>
      </c>
      <c r="Q153" s="54">
        <f t="shared" si="50"/>
        <v>0</v>
      </c>
      <c r="R153" s="54">
        <f t="shared" si="50"/>
        <v>0</v>
      </c>
      <c r="S153" s="171"/>
      <c r="T153" s="120"/>
      <c r="U153" s="120"/>
      <c r="V153" s="120"/>
      <c r="W153" s="120"/>
      <c r="X153" s="120"/>
      <c r="Y153" s="140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</row>
    <row r="154" spans="1:39" ht="15.75" customHeight="1" outlineLevel="1" x14ac:dyDescent="0.2">
      <c r="A154" s="16" t="s">
        <v>271</v>
      </c>
      <c r="B154" s="54">
        <f t="shared" ref="B154:D154" si="51">SUM(B155:B156)</f>
        <v>0</v>
      </c>
      <c r="C154" s="54">
        <f t="shared" si="51"/>
        <v>0</v>
      </c>
      <c r="D154" s="54">
        <f t="shared" si="51"/>
        <v>0</v>
      </c>
      <c r="E154" s="171"/>
      <c r="F154" s="120"/>
      <c r="G154" s="120"/>
      <c r="H154" s="120"/>
      <c r="I154" s="120"/>
      <c r="J154" s="120"/>
      <c r="K154" s="121"/>
      <c r="L154" s="172" t="s">
        <v>532</v>
      </c>
      <c r="M154" s="120"/>
      <c r="N154" s="120"/>
      <c r="O154" s="121"/>
      <c r="P154" s="17"/>
      <c r="Q154" s="17"/>
      <c r="R154" s="54">
        <f t="shared" ref="R154:R155" si="52">SUM(P154:Q154)</f>
        <v>0</v>
      </c>
      <c r="S154" s="171"/>
      <c r="T154" s="120"/>
      <c r="U154" s="120"/>
      <c r="V154" s="120"/>
      <c r="W154" s="120"/>
      <c r="X154" s="120"/>
      <c r="Y154" s="140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</row>
    <row r="155" spans="1:39" ht="15.75" customHeight="1" outlineLevel="1" x14ac:dyDescent="0.2">
      <c r="A155" s="16" t="s">
        <v>533</v>
      </c>
      <c r="B155" s="17"/>
      <c r="C155" s="17"/>
      <c r="D155" s="54">
        <f t="shared" ref="D155:D156" si="53">SUM(B155:C155)</f>
        <v>0</v>
      </c>
      <c r="E155" s="171"/>
      <c r="F155" s="120"/>
      <c r="G155" s="120"/>
      <c r="H155" s="120"/>
      <c r="I155" s="120"/>
      <c r="J155" s="120"/>
      <c r="K155" s="121"/>
      <c r="L155" s="172" t="s">
        <v>534</v>
      </c>
      <c r="M155" s="120"/>
      <c r="N155" s="120"/>
      <c r="O155" s="121"/>
      <c r="P155" s="17"/>
      <c r="Q155" s="17"/>
      <c r="R155" s="54">
        <f t="shared" si="52"/>
        <v>0</v>
      </c>
      <c r="S155" s="171"/>
      <c r="T155" s="120"/>
      <c r="U155" s="120"/>
      <c r="V155" s="120"/>
      <c r="W155" s="120"/>
      <c r="X155" s="120"/>
      <c r="Y155" s="140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</row>
    <row r="156" spans="1:39" ht="15.75" customHeight="1" outlineLevel="1" x14ac:dyDescent="0.2">
      <c r="A156" s="61" t="s">
        <v>535</v>
      </c>
      <c r="B156" s="6"/>
      <c r="C156" s="6"/>
      <c r="D156" s="62">
        <f t="shared" si="53"/>
        <v>0</v>
      </c>
      <c r="E156" s="123"/>
      <c r="F156" s="127"/>
      <c r="G156" s="127"/>
      <c r="H156" s="127"/>
      <c r="I156" s="127"/>
      <c r="J156" s="127"/>
      <c r="K156" s="126"/>
      <c r="L156" s="212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32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</row>
    <row r="157" spans="1:39" ht="15.75" customHeight="1" outlineLevel="1" x14ac:dyDescent="0.2">
      <c r="A157" s="165" t="s">
        <v>80</v>
      </c>
      <c r="B157" s="158" t="s">
        <v>211</v>
      </c>
      <c r="C157" s="129"/>
      <c r="D157" s="130"/>
      <c r="E157" s="168" t="s">
        <v>25</v>
      </c>
      <c r="F157" s="159" t="s">
        <v>0</v>
      </c>
      <c r="G157" s="153"/>
      <c r="H157" s="153"/>
      <c r="I157" s="153"/>
      <c r="J157" s="153"/>
      <c r="K157" s="154"/>
      <c r="L157" s="179" t="s">
        <v>80</v>
      </c>
      <c r="M157" s="153"/>
      <c r="N157" s="153"/>
      <c r="O157" s="154"/>
      <c r="P157" s="158" t="s">
        <v>211</v>
      </c>
      <c r="Q157" s="129"/>
      <c r="R157" s="130"/>
      <c r="S157" s="168" t="s">
        <v>25</v>
      </c>
      <c r="T157" s="159" t="s">
        <v>0</v>
      </c>
      <c r="U157" s="153"/>
      <c r="V157" s="153"/>
      <c r="W157" s="153"/>
      <c r="X157" s="153"/>
      <c r="Y157" s="161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</row>
    <row r="158" spans="1:39" ht="15.75" customHeight="1" outlineLevel="1" x14ac:dyDescent="0.2">
      <c r="A158" s="167"/>
      <c r="B158" s="63">
        <v>45944</v>
      </c>
      <c r="C158" s="24" t="s">
        <v>3</v>
      </c>
      <c r="D158" s="24" t="s">
        <v>4</v>
      </c>
      <c r="E158" s="128"/>
      <c r="F158" s="160"/>
      <c r="G158" s="156"/>
      <c r="H158" s="156"/>
      <c r="I158" s="156"/>
      <c r="J158" s="156"/>
      <c r="K158" s="157"/>
      <c r="L158" s="160"/>
      <c r="M158" s="156"/>
      <c r="N158" s="156"/>
      <c r="O158" s="157"/>
      <c r="P158" s="63">
        <v>45944</v>
      </c>
      <c r="Q158" s="24" t="s">
        <v>3</v>
      </c>
      <c r="R158" s="24" t="s">
        <v>4</v>
      </c>
      <c r="S158" s="128"/>
      <c r="T158" s="160"/>
      <c r="U158" s="156"/>
      <c r="V158" s="156"/>
      <c r="W158" s="156"/>
      <c r="X158" s="156"/>
      <c r="Y158" s="162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</row>
    <row r="159" spans="1:39" ht="15.75" customHeight="1" outlineLevel="1" x14ac:dyDescent="0.2">
      <c r="A159" s="59" t="s">
        <v>272</v>
      </c>
      <c r="B159" s="60">
        <f t="shared" ref="B159:D159" si="54">SUM(B160:B161)</f>
        <v>0</v>
      </c>
      <c r="C159" s="60">
        <f t="shared" si="54"/>
        <v>0</v>
      </c>
      <c r="D159" s="60">
        <f t="shared" si="54"/>
        <v>0</v>
      </c>
      <c r="E159" s="60">
        <f t="shared" ref="E159:E161" si="55">SUM(B159:D159)</f>
        <v>0</v>
      </c>
      <c r="F159" s="192"/>
      <c r="G159" s="122"/>
      <c r="H159" s="122"/>
      <c r="I159" s="122"/>
      <c r="J159" s="122"/>
      <c r="K159" s="131"/>
      <c r="L159" s="195" t="s">
        <v>273</v>
      </c>
      <c r="M159" s="122"/>
      <c r="N159" s="122"/>
      <c r="O159" s="131"/>
      <c r="P159" s="60">
        <f t="shared" ref="P159:R159" si="56">SUM(P160:P161)</f>
        <v>0</v>
      </c>
      <c r="Q159" s="60">
        <f t="shared" si="56"/>
        <v>0</v>
      </c>
      <c r="R159" s="60">
        <f t="shared" si="56"/>
        <v>0</v>
      </c>
      <c r="S159" s="60">
        <f t="shared" ref="S159:S161" si="57">SUM(P159:R159)</f>
        <v>0</v>
      </c>
      <c r="T159" s="192"/>
      <c r="U159" s="122"/>
      <c r="V159" s="122"/>
      <c r="W159" s="122"/>
      <c r="X159" s="122"/>
      <c r="Y159" s="138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</row>
    <row r="160" spans="1:39" ht="15.75" customHeight="1" outlineLevel="1" x14ac:dyDescent="0.2">
      <c r="A160" s="20" t="s">
        <v>536</v>
      </c>
      <c r="B160" s="17"/>
      <c r="C160" s="17"/>
      <c r="D160" s="17"/>
      <c r="E160" s="54">
        <f t="shared" si="55"/>
        <v>0</v>
      </c>
      <c r="F160" s="171"/>
      <c r="G160" s="120"/>
      <c r="H160" s="120"/>
      <c r="I160" s="120"/>
      <c r="J160" s="120"/>
      <c r="K160" s="121"/>
      <c r="L160" s="172" t="s">
        <v>537</v>
      </c>
      <c r="M160" s="120"/>
      <c r="N160" s="120"/>
      <c r="O160" s="121"/>
      <c r="P160" s="17"/>
      <c r="Q160" s="17"/>
      <c r="R160" s="17"/>
      <c r="S160" s="54">
        <f t="shared" si="57"/>
        <v>0</v>
      </c>
      <c r="T160" s="171"/>
      <c r="U160" s="120"/>
      <c r="V160" s="120"/>
      <c r="W160" s="120"/>
      <c r="X160" s="120"/>
      <c r="Y160" s="140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</row>
    <row r="161" spans="1:39" ht="15.75" customHeight="1" outlineLevel="1" x14ac:dyDescent="0.2">
      <c r="A161" s="29" t="s">
        <v>538</v>
      </c>
      <c r="B161" s="6"/>
      <c r="C161" s="6"/>
      <c r="D161" s="6"/>
      <c r="E161" s="62">
        <f t="shared" si="55"/>
        <v>0</v>
      </c>
      <c r="F161" s="123"/>
      <c r="G161" s="127"/>
      <c r="H161" s="127"/>
      <c r="I161" s="127"/>
      <c r="J161" s="127"/>
      <c r="K161" s="126"/>
      <c r="L161" s="176" t="s">
        <v>539</v>
      </c>
      <c r="M161" s="127"/>
      <c r="N161" s="127"/>
      <c r="O161" s="126"/>
      <c r="P161" s="6"/>
      <c r="Q161" s="6"/>
      <c r="R161" s="6"/>
      <c r="S161" s="62">
        <f t="shared" si="57"/>
        <v>0</v>
      </c>
      <c r="T161" s="123"/>
      <c r="U161" s="127"/>
      <c r="V161" s="127"/>
      <c r="W161" s="127"/>
      <c r="X161" s="127"/>
      <c r="Y161" s="132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</row>
    <row r="162" spans="1:39" ht="15.75" customHeight="1" x14ac:dyDescent="0.2">
      <c r="A162" s="199" t="s">
        <v>274</v>
      </c>
      <c r="B162" s="129"/>
      <c r="C162" s="129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200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</row>
    <row r="163" spans="1:39" ht="15.75" customHeight="1" outlineLevel="1" x14ac:dyDescent="0.2">
      <c r="A163" s="165" t="s">
        <v>80</v>
      </c>
      <c r="B163" s="158" t="s">
        <v>245</v>
      </c>
      <c r="C163" s="130"/>
      <c r="D163" s="168" t="s">
        <v>25</v>
      </c>
      <c r="E163" s="159" t="s">
        <v>0</v>
      </c>
      <c r="F163" s="153"/>
      <c r="G163" s="153"/>
      <c r="H163" s="153"/>
      <c r="I163" s="153"/>
      <c r="J163" s="153"/>
      <c r="K163" s="154"/>
      <c r="L163" s="179" t="s">
        <v>80</v>
      </c>
      <c r="M163" s="153"/>
      <c r="N163" s="153"/>
      <c r="O163" s="154"/>
      <c r="P163" s="158" t="s">
        <v>245</v>
      </c>
      <c r="Q163" s="130"/>
      <c r="R163" s="168" t="s">
        <v>25</v>
      </c>
      <c r="S163" s="159" t="s">
        <v>0</v>
      </c>
      <c r="T163" s="153"/>
      <c r="U163" s="153"/>
      <c r="V163" s="153"/>
      <c r="W163" s="153"/>
      <c r="X163" s="153"/>
      <c r="Y163" s="161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</row>
    <row r="164" spans="1:39" ht="15.75" customHeight="1" outlineLevel="1" x14ac:dyDescent="0.2">
      <c r="A164" s="167"/>
      <c r="B164" s="24" t="s">
        <v>23</v>
      </c>
      <c r="C164" s="24" t="s">
        <v>24</v>
      </c>
      <c r="D164" s="128"/>
      <c r="E164" s="160"/>
      <c r="F164" s="156"/>
      <c r="G164" s="156"/>
      <c r="H164" s="156"/>
      <c r="I164" s="156"/>
      <c r="J164" s="156"/>
      <c r="K164" s="157"/>
      <c r="L164" s="160"/>
      <c r="M164" s="156"/>
      <c r="N164" s="156"/>
      <c r="O164" s="157"/>
      <c r="P164" s="24" t="s">
        <v>23</v>
      </c>
      <c r="Q164" s="24" t="s">
        <v>24</v>
      </c>
      <c r="R164" s="128"/>
      <c r="S164" s="160"/>
      <c r="T164" s="156"/>
      <c r="U164" s="156"/>
      <c r="V164" s="156"/>
      <c r="W164" s="156"/>
      <c r="X164" s="156"/>
      <c r="Y164" s="162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</row>
    <row r="165" spans="1:39" ht="15.75" customHeight="1" outlineLevel="1" x14ac:dyDescent="0.2">
      <c r="A165" s="213" t="s">
        <v>275</v>
      </c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41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</row>
    <row r="166" spans="1:39" ht="15.75" customHeight="1" outlineLevel="1" x14ac:dyDescent="0.2">
      <c r="A166" s="16" t="s">
        <v>276</v>
      </c>
      <c r="B166" s="17"/>
      <c r="C166" s="17"/>
      <c r="D166" s="54"/>
      <c r="E166" s="171"/>
      <c r="F166" s="120"/>
      <c r="G166" s="120"/>
      <c r="H166" s="120"/>
      <c r="I166" s="120"/>
      <c r="J166" s="120"/>
      <c r="K166" s="121"/>
      <c r="L166" s="172" t="s">
        <v>277</v>
      </c>
      <c r="M166" s="120"/>
      <c r="N166" s="120"/>
      <c r="O166" s="121"/>
      <c r="P166" s="17"/>
      <c r="Q166" s="17"/>
      <c r="R166" s="54">
        <f t="shared" ref="R166:R176" si="58">SUM(P166:Q166)</f>
        <v>0</v>
      </c>
      <c r="S166" s="171"/>
      <c r="T166" s="120"/>
      <c r="U166" s="120"/>
      <c r="V166" s="120"/>
      <c r="W166" s="120"/>
      <c r="X166" s="120"/>
      <c r="Y166" s="140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</row>
    <row r="167" spans="1:39" ht="15.75" customHeight="1" outlineLevel="1" x14ac:dyDescent="0.2">
      <c r="A167" s="20" t="s">
        <v>278</v>
      </c>
      <c r="B167" s="17"/>
      <c r="C167" s="17"/>
      <c r="D167" s="54"/>
      <c r="E167" s="171"/>
      <c r="F167" s="120"/>
      <c r="G167" s="120"/>
      <c r="H167" s="120"/>
      <c r="I167" s="120"/>
      <c r="J167" s="120"/>
      <c r="K167" s="121"/>
      <c r="L167" s="172" t="s">
        <v>279</v>
      </c>
      <c r="M167" s="120"/>
      <c r="N167" s="120"/>
      <c r="O167" s="121"/>
      <c r="P167" s="17"/>
      <c r="Q167" s="17"/>
      <c r="R167" s="54">
        <f t="shared" si="58"/>
        <v>0</v>
      </c>
      <c r="S167" s="171"/>
      <c r="T167" s="120"/>
      <c r="U167" s="120"/>
      <c r="V167" s="120"/>
      <c r="W167" s="120"/>
      <c r="X167" s="120"/>
      <c r="Y167" s="140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</row>
    <row r="168" spans="1:39" ht="15.75" customHeight="1" outlineLevel="1" x14ac:dyDescent="0.2">
      <c r="A168" s="20" t="s">
        <v>280</v>
      </c>
      <c r="B168" s="17"/>
      <c r="C168" s="17"/>
      <c r="D168" s="54"/>
      <c r="E168" s="171"/>
      <c r="F168" s="120"/>
      <c r="G168" s="120"/>
      <c r="H168" s="120"/>
      <c r="I168" s="120"/>
      <c r="J168" s="120"/>
      <c r="K168" s="121"/>
      <c r="L168" s="172" t="s">
        <v>281</v>
      </c>
      <c r="M168" s="120"/>
      <c r="N168" s="120"/>
      <c r="O168" s="121"/>
      <c r="P168" s="17"/>
      <c r="Q168" s="17"/>
      <c r="R168" s="54">
        <f t="shared" si="58"/>
        <v>0</v>
      </c>
      <c r="S168" s="171"/>
      <c r="T168" s="120"/>
      <c r="U168" s="120"/>
      <c r="V168" s="120"/>
      <c r="W168" s="120"/>
      <c r="X168" s="120"/>
      <c r="Y168" s="140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</row>
    <row r="169" spans="1:39" ht="15.75" customHeight="1" outlineLevel="1" x14ac:dyDescent="0.2">
      <c r="A169" s="20" t="s">
        <v>282</v>
      </c>
      <c r="B169" s="17"/>
      <c r="C169" s="17"/>
      <c r="D169" s="54"/>
      <c r="E169" s="171"/>
      <c r="F169" s="120"/>
      <c r="G169" s="120"/>
      <c r="H169" s="120"/>
      <c r="I169" s="120"/>
      <c r="J169" s="120"/>
      <c r="K169" s="121"/>
      <c r="L169" s="172" t="s">
        <v>283</v>
      </c>
      <c r="M169" s="120"/>
      <c r="N169" s="120"/>
      <c r="O169" s="121"/>
      <c r="P169" s="17"/>
      <c r="Q169" s="17"/>
      <c r="R169" s="54">
        <f t="shared" si="58"/>
        <v>0</v>
      </c>
      <c r="S169" s="171"/>
      <c r="T169" s="120"/>
      <c r="U169" s="120"/>
      <c r="V169" s="120"/>
      <c r="W169" s="120"/>
      <c r="X169" s="120"/>
      <c r="Y169" s="140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</row>
    <row r="170" spans="1:39" ht="15.75" customHeight="1" outlineLevel="1" x14ac:dyDescent="0.2">
      <c r="A170" s="20" t="s">
        <v>284</v>
      </c>
      <c r="B170" s="17"/>
      <c r="C170" s="17"/>
      <c r="D170" s="54"/>
      <c r="E170" s="171"/>
      <c r="F170" s="120"/>
      <c r="G170" s="120"/>
      <c r="H170" s="120"/>
      <c r="I170" s="120"/>
      <c r="J170" s="120"/>
      <c r="K170" s="121"/>
      <c r="L170" s="172" t="s">
        <v>285</v>
      </c>
      <c r="M170" s="120"/>
      <c r="N170" s="120"/>
      <c r="O170" s="121"/>
      <c r="P170" s="17"/>
      <c r="Q170" s="17"/>
      <c r="R170" s="54">
        <f t="shared" si="58"/>
        <v>0</v>
      </c>
      <c r="S170" s="171"/>
      <c r="T170" s="120"/>
      <c r="U170" s="120"/>
      <c r="V170" s="120"/>
      <c r="W170" s="120"/>
      <c r="X170" s="120"/>
      <c r="Y170" s="140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</row>
    <row r="171" spans="1:39" ht="15.75" customHeight="1" outlineLevel="1" x14ac:dyDescent="0.2">
      <c r="A171" s="20" t="s">
        <v>286</v>
      </c>
      <c r="B171" s="17"/>
      <c r="C171" s="17"/>
      <c r="D171" s="54"/>
      <c r="E171" s="171"/>
      <c r="F171" s="120"/>
      <c r="G171" s="120"/>
      <c r="H171" s="120"/>
      <c r="I171" s="120"/>
      <c r="J171" s="120"/>
      <c r="K171" s="121"/>
      <c r="L171" s="172" t="s">
        <v>287</v>
      </c>
      <c r="M171" s="120"/>
      <c r="N171" s="120"/>
      <c r="O171" s="121"/>
      <c r="P171" s="17"/>
      <c r="Q171" s="17"/>
      <c r="R171" s="54">
        <f t="shared" si="58"/>
        <v>0</v>
      </c>
      <c r="S171" s="171"/>
      <c r="T171" s="120"/>
      <c r="U171" s="120"/>
      <c r="V171" s="120"/>
      <c r="W171" s="120"/>
      <c r="X171" s="120"/>
      <c r="Y171" s="140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</row>
    <row r="172" spans="1:39" ht="15.75" customHeight="1" outlineLevel="1" x14ac:dyDescent="0.2">
      <c r="A172" s="20" t="s">
        <v>288</v>
      </c>
      <c r="B172" s="17"/>
      <c r="C172" s="17"/>
      <c r="D172" s="54"/>
      <c r="E172" s="171"/>
      <c r="F172" s="120"/>
      <c r="G172" s="120"/>
      <c r="H172" s="120"/>
      <c r="I172" s="120"/>
      <c r="J172" s="120"/>
      <c r="K172" s="121"/>
      <c r="L172" s="172" t="s">
        <v>289</v>
      </c>
      <c r="M172" s="120"/>
      <c r="N172" s="120"/>
      <c r="O172" s="121"/>
      <c r="P172" s="17"/>
      <c r="Q172" s="17"/>
      <c r="R172" s="54">
        <f t="shared" si="58"/>
        <v>0</v>
      </c>
      <c r="S172" s="171"/>
      <c r="T172" s="120"/>
      <c r="U172" s="120"/>
      <c r="V172" s="120"/>
      <c r="W172" s="120"/>
      <c r="X172" s="120"/>
      <c r="Y172" s="140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</row>
    <row r="173" spans="1:39" ht="15.75" customHeight="1" outlineLevel="1" x14ac:dyDescent="0.2">
      <c r="A173" s="20" t="s">
        <v>290</v>
      </c>
      <c r="B173" s="17"/>
      <c r="C173" s="17"/>
      <c r="D173" s="54"/>
      <c r="E173" s="171"/>
      <c r="F173" s="120"/>
      <c r="G173" s="120"/>
      <c r="H173" s="120"/>
      <c r="I173" s="120"/>
      <c r="J173" s="120"/>
      <c r="K173" s="121"/>
      <c r="L173" s="172" t="s">
        <v>291</v>
      </c>
      <c r="M173" s="120"/>
      <c r="N173" s="120"/>
      <c r="O173" s="121"/>
      <c r="P173" s="17"/>
      <c r="Q173" s="17"/>
      <c r="R173" s="54">
        <f t="shared" si="58"/>
        <v>0</v>
      </c>
      <c r="S173" s="171"/>
      <c r="T173" s="120"/>
      <c r="U173" s="120"/>
      <c r="V173" s="120"/>
      <c r="W173" s="120"/>
      <c r="X173" s="120"/>
      <c r="Y173" s="140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</row>
    <row r="174" spans="1:39" ht="15.75" customHeight="1" outlineLevel="1" x14ac:dyDescent="0.2">
      <c r="A174" s="20" t="s">
        <v>292</v>
      </c>
      <c r="B174" s="17"/>
      <c r="C174" s="17"/>
      <c r="D174" s="54"/>
      <c r="E174" s="171"/>
      <c r="F174" s="120"/>
      <c r="G174" s="120"/>
      <c r="H174" s="120"/>
      <c r="I174" s="120"/>
      <c r="J174" s="120"/>
      <c r="K174" s="121"/>
      <c r="L174" s="172" t="s">
        <v>293</v>
      </c>
      <c r="M174" s="120"/>
      <c r="N174" s="120"/>
      <c r="O174" s="121"/>
      <c r="P174" s="17"/>
      <c r="Q174" s="17"/>
      <c r="R174" s="54">
        <f t="shared" si="58"/>
        <v>0</v>
      </c>
      <c r="S174" s="171"/>
      <c r="T174" s="120"/>
      <c r="U174" s="120"/>
      <c r="V174" s="120"/>
      <c r="W174" s="120"/>
      <c r="X174" s="120"/>
      <c r="Y174" s="140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</row>
    <row r="175" spans="1:39" ht="15.75" customHeight="1" outlineLevel="1" x14ac:dyDescent="0.2">
      <c r="A175" s="20" t="s">
        <v>294</v>
      </c>
      <c r="B175" s="17"/>
      <c r="C175" s="17"/>
      <c r="D175" s="54"/>
      <c r="E175" s="171"/>
      <c r="F175" s="120"/>
      <c r="G175" s="120"/>
      <c r="H175" s="120"/>
      <c r="I175" s="120"/>
      <c r="J175" s="120"/>
      <c r="K175" s="121"/>
      <c r="L175" s="172" t="s">
        <v>295</v>
      </c>
      <c r="M175" s="120"/>
      <c r="N175" s="120"/>
      <c r="O175" s="121"/>
      <c r="P175" s="17"/>
      <c r="Q175" s="17"/>
      <c r="R175" s="54">
        <f t="shared" si="58"/>
        <v>0</v>
      </c>
      <c r="S175" s="171"/>
      <c r="T175" s="120"/>
      <c r="U175" s="120"/>
      <c r="V175" s="120"/>
      <c r="W175" s="120"/>
      <c r="X175" s="120"/>
      <c r="Y175" s="140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</row>
    <row r="176" spans="1:39" ht="15.75" customHeight="1" outlineLevel="1" x14ac:dyDescent="0.2">
      <c r="A176" s="20" t="s">
        <v>296</v>
      </c>
      <c r="B176" s="17"/>
      <c r="C176" s="17"/>
      <c r="D176" s="54"/>
      <c r="E176" s="171"/>
      <c r="F176" s="120"/>
      <c r="G176" s="120"/>
      <c r="H176" s="120"/>
      <c r="I176" s="120"/>
      <c r="J176" s="120"/>
      <c r="K176" s="121"/>
      <c r="L176" s="172" t="s">
        <v>297</v>
      </c>
      <c r="M176" s="120"/>
      <c r="N176" s="120"/>
      <c r="O176" s="121"/>
      <c r="P176" s="17"/>
      <c r="Q176" s="17"/>
      <c r="R176" s="54">
        <f t="shared" si="58"/>
        <v>0</v>
      </c>
      <c r="S176" s="171"/>
      <c r="T176" s="120"/>
      <c r="U176" s="120"/>
      <c r="V176" s="120"/>
      <c r="W176" s="120"/>
      <c r="X176" s="120"/>
      <c r="Y176" s="140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</row>
    <row r="177" spans="1:39" ht="15.75" customHeight="1" outlineLevel="1" x14ac:dyDescent="0.2">
      <c r="A177" s="213" t="s">
        <v>298</v>
      </c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256" t="s">
        <v>299</v>
      </c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41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</row>
    <row r="178" spans="1:39" ht="15.75" customHeight="1" outlineLevel="1" x14ac:dyDescent="0.2">
      <c r="A178" s="20" t="s">
        <v>540</v>
      </c>
      <c r="B178" s="11"/>
      <c r="C178" s="11"/>
      <c r="D178" s="54"/>
      <c r="E178" s="171"/>
      <c r="F178" s="120"/>
      <c r="G178" s="120"/>
      <c r="H178" s="120"/>
      <c r="I178" s="120"/>
      <c r="J178" s="120"/>
      <c r="K178" s="121"/>
      <c r="L178" s="172" t="s">
        <v>541</v>
      </c>
      <c r="M178" s="120"/>
      <c r="N178" s="120"/>
      <c r="O178" s="121"/>
      <c r="P178" s="12"/>
      <c r="Q178" s="17"/>
      <c r="R178" s="54">
        <f t="shared" ref="R178:R191" si="59">SUM(P178:Q178)</f>
        <v>0</v>
      </c>
      <c r="S178" s="171"/>
      <c r="T178" s="120"/>
      <c r="U178" s="120"/>
      <c r="V178" s="120"/>
      <c r="W178" s="120"/>
      <c r="X178" s="120"/>
      <c r="Y178" s="140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</row>
    <row r="179" spans="1:39" ht="15.75" customHeight="1" outlineLevel="1" x14ac:dyDescent="0.2">
      <c r="A179" s="20" t="s">
        <v>542</v>
      </c>
      <c r="B179" s="11"/>
      <c r="C179" s="11"/>
      <c r="D179" s="54"/>
      <c r="E179" s="171"/>
      <c r="F179" s="120"/>
      <c r="G179" s="120"/>
      <c r="H179" s="120"/>
      <c r="I179" s="120"/>
      <c r="J179" s="120"/>
      <c r="K179" s="121"/>
      <c r="L179" s="172" t="s">
        <v>543</v>
      </c>
      <c r="M179" s="120"/>
      <c r="N179" s="120"/>
      <c r="O179" s="121"/>
      <c r="P179" s="12"/>
      <c r="Q179" s="17"/>
      <c r="R179" s="54">
        <f t="shared" si="59"/>
        <v>0</v>
      </c>
      <c r="S179" s="171"/>
      <c r="T179" s="120"/>
      <c r="U179" s="120"/>
      <c r="V179" s="120"/>
      <c r="W179" s="120"/>
      <c r="X179" s="120"/>
      <c r="Y179" s="140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</row>
    <row r="180" spans="1:39" ht="15.75" customHeight="1" outlineLevel="1" x14ac:dyDescent="0.2">
      <c r="A180" s="16" t="s">
        <v>300</v>
      </c>
      <c r="B180" s="54"/>
      <c r="C180" s="54"/>
      <c r="D180" s="54"/>
      <c r="E180" s="171"/>
      <c r="F180" s="120"/>
      <c r="G180" s="120"/>
      <c r="H180" s="120"/>
      <c r="I180" s="120"/>
      <c r="J180" s="120"/>
      <c r="K180" s="121"/>
      <c r="L180" s="172" t="s">
        <v>301</v>
      </c>
      <c r="M180" s="120"/>
      <c r="N180" s="120"/>
      <c r="O180" s="121"/>
      <c r="P180" s="54">
        <f t="shared" ref="P180:Q180" si="60">SUM(P178:P179)</f>
        <v>0</v>
      </c>
      <c r="Q180" s="54">
        <f t="shared" si="60"/>
        <v>0</v>
      </c>
      <c r="R180" s="54">
        <f t="shared" si="59"/>
        <v>0</v>
      </c>
      <c r="S180" s="171"/>
      <c r="T180" s="120"/>
      <c r="U180" s="120"/>
      <c r="V180" s="120"/>
      <c r="W180" s="120"/>
      <c r="X180" s="120"/>
      <c r="Y180" s="140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</row>
    <row r="181" spans="1:39" ht="15.75" customHeight="1" outlineLevel="1" x14ac:dyDescent="0.2">
      <c r="A181" s="16" t="s">
        <v>302</v>
      </c>
      <c r="B181" s="54"/>
      <c r="C181" s="54"/>
      <c r="D181" s="54"/>
      <c r="E181" s="171"/>
      <c r="F181" s="120"/>
      <c r="G181" s="120"/>
      <c r="H181" s="120"/>
      <c r="I181" s="120"/>
      <c r="J181" s="120"/>
      <c r="K181" s="121"/>
      <c r="L181" s="172" t="s">
        <v>303</v>
      </c>
      <c r="M181" s="120"/>
      <c r="N181" s="120"/>
      <c r="O181" s="121"/>
      <c r="P181" s="54">
        <f t="shared" ref="P181:Q181" si="61">SUM(P182:P184)</f>
        <v>0</v>
      </c>
      <c r="Q181" s="54">
        <f t="shared" si="61"/>
        <v>0</v>
      </c>
      <c r="R181" s="54">
        <f t="shared" si="59"/>
        <v>0</v>
      </c>
      <c r="S181" s="171"/>
      <c r="T181" s="120"/>
      <c r="U181" s="120"/>
      <c r="V181" s="120"/>
      <c r="W181" s="120"/>
      <c r="X181" s="120"/>
      <c r="Y181" s="140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</row>
    <row r="182" spans="1:39" ht="15.75" customHeight="1" outlineLevel="1" x14ac:dyDescent="0.2">
      <c r="A182" s="20" t="s">
        <v>304</v>
      </c>
      <c r="B182" s="17"/>
      <c r="C182" s="17"/>
      <c r="D182" s="54"/>
      <c r="E182" s="171"/>
      <c r="F182" s="120"/>
      <c r="G182" s="120"/>
      <c r="H182" s="120"/>
      <c r="I182" s="120"/>
      <c r="J182" s="120"/>
      <c r="K182" s="121"/>
      <c r="L182" s="172" t="s">
        <v>304</v>
      </c>
      <c r="M182" s="120"/>
      <c r="N182" s="120"/>
      <c r="O182" s="121"/>
      <c r="P182" s="17"/>
      <c r="Q182" s="17"/>
      <c r="R182" s="54">
        <f t="shared" si="59"/>
        <v>0</v>
      </c>
      <c r="S182" s="171"/>
      <c r="T182" s="120"/>
      <c r="U182" s="120"/>
      <c r="V182" s="120"/>
      <c r="W182" s="120"/>
      <c r="X182" s="120"/>
      <c r="Y182" s="140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</row>
    <row r="183" spans="1:39" ht="15.75" customHeight="1" outlineLevel="1" x14ac:dyDescent="0.2">
      <c r="A183" s="20" t="s">
        <v>305</v>
      </c>
      <c r="B183" s="17"/>
      <c r="C183" s="17"/>
      <c r="D183" s="54"/>
      <c r="E183" s="171"/>
      <c r="F183" s="120"/>
      <c r="G183" s="120"/>
      <c r="H183" s="120"/>
      <c r="I183" s="120"/>
      <c r="J183" s="120"/>
      <c r="K183" s="121"/>
      <c r="L183" s="172" t="s">
        <v>305</v>
      </c>
      <c r="M183" s="120"/>
      <c r="N183" s="120"/>
      <c r="O183" s="121"/>
      <c r="P183" s="17"/>
      <c r="Q183" s="17"/>
      <c r="R183" s="54">
        <f t="shared" si="59"/>
        <v>0</v>
      </c>
      <c r="S183" s="171"/>
      <c r="T183" s="120"/>
      <c r="U183" s="120"/>
      <c r="V183" s="120"/>
      <c r="W183" s="120"/>
      <c r="X183" s="120"/>
      <c r="Y183" s="140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</row>
    <row r="184" spans="1:39" ht="15.75" customHeight="1" outlineLevel="1" x14ac:dyDescent="0.2">
      <c r="A184" s="20" t="s">
        <v>306</v>
      </c>
      <c r="B184" s="17"/>
      <c r="C184" s="17"/>
      <c r="D184" s="54"/>
      <c r="E184" s="171"/>
      <c r="F184" s="120"/>
      <c r="G184" s="120"/>
      <c r="H184" s="120"/>
      <c r="I184" s="120"/>
      <c r="J184" s="120"/>
      <c r="K184" s="121"/>
      <c r="L184" s="172" t="s">
        <v>306</v>
      </c>
      <c r="M184" s="120"/>
      <c r="N184" s="120"/>
      <c r="O184" s="121"/>
      <c r="P184" s="17"/>
      <c r="Q184" s="17"/>
      <c r="R184" s="54">
        <f t="shared" si="59"/>
        <v>0</v>
      </c>
      <c r="S184" s="171"/>
      <c r="T184" s="120"/>
      <c r="U184" s="120"/>
      <c r="V184" s="120"/>
      <c r="W184" s="120"/>
      <c r="X184" s="120"/>
      <c r="Y184" s="140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</row>
    <row r="185" spans="1:39" ht="15.75" customHeight="1" outlineLevel="1" x14ac:dyDescent="0.2">
      <c r="A185" s="20" t="s">
        <v>544</v>
      </c>
      <c r="B185" s="11"/>
      <c r="C185" s="11"/>
      <c r="D185" s="54"/>
      <c r="E185" s="171"/>
      <c r="F185" s="120"/>
      <c r="G185" s="120"/>
      <c r="H185" s="120"/>
      <c r="I185" s="120"/>
      <c r="J185" s="120"/>
      <c r="K185" s="121"/>
      <c r="L185" s="172" t="s">
        <v>545</v>
      </c>
      <c r="M185" s="120"/>
      <c r="N185" s="120"/>
      <c r="O185" s="121"/>
      <c r="P185" s="12"/>
      <c r="Q185" s="12"/>
      <c r="R185" s="54">
        <f t="shared" si="59"/>
        <v>0</v>
      </c>
      <c r="S185" s="171"/>
      <c r="T185" s="120"/>
      <c r="U185" s="120"/>
      <c r="V185" s="120"/>
      <c r="W185" s="120"/>
      <c r="X185" s="120"/>
      <c r="Y185" s="140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</row>
    <row r="186" spans="1:39" ht="15.75" customHeight="1" outlineLevel="1" x14ac:dyDescent="0.2">
      <c r="A186" s="20" t="s">
        <v>546</v>
      </c>
      <c r="B186" s="11"/>
      <c r="C186" s="11"/>
      <c r="D186" s="54"/>
      <c r="E186" s="171"/>
      <c r="F186" s="120"/>
      <c r="G186" s="120"/>
      <c r="H186" s="120"/>
      <c r="I186" s="120"/>
      <c r="J186" s="120"/>
      <c r="K186" s="121"/>
      <c r="L186" s="172" t="s">
        <v>547</v>
      </c>
      <c r="M186" s="120"/>
      <c r="N186" s="120"/>
      <c r="O186" s="121"/>
      <c r="P186" s="12"/>
      <c r="Q186" s="12"/>
      <c r="R186" s="54">
        <f t="shared" si="59"/>
        <v>0</v>
      </c>
      <c r="S186" s="171"/>
      <c r="T186" s="120"/>
      <c r="U186" s="120"/>
      <c r="V186" s="120"/>
      <c r="W186" s="120"/>
      <c r="X186" s="120"/>
      <c r="Y186" s="140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</row>
    <row r="187" spans="1:39" ht="15.75" customHeight="1" outlineLevel="1" x14ac:dyDescent="0.2">
      <c r="A187" s="16" t="s">
        <v>307</v>
      </c>
      <c r="B187" s="54"/>
      <c r="C187" s="54"/>
      <c r="D187" s="54"/>
      <c r="E187" s="171"/>
      <c r="F187" s="120"/>
      <c r="G187" s="120"/>
      <c r="H187" s="120"/>
      <c r="I187" s="120"/>
      <c r="J187" s="120"/>
      <c r="K187" s="121"/>
      <c r="L187" s="172" t="s">
        <v>308</v>
      </c>
      <c r="M187" s="120"/>
      <c r="N187" s="120"/>
      <c r="O187" s="121"/>
      <c r="P187" s="54">
        <f t="shared" ref="P187:Q187" si="62">SUM(P185:P186)</f>
        <v>0</v>
      </c>
      <c r="Q187" s="54">
        <f t="shared" si="62"/>
        <v>0</v>
      </c>
      <c r="R187" s="54">
        <f t="shared" si="59"/>
        <v>0</v>
      </c>
      <c r="S187" s="171"/>
      <c r="T187" s="120"/>
      <c r="U187" s="120"/>
      <c r="V187" s="120"/>
      <c r="W187" s="120"/>
      <c r="X187" s="120"/>
      <c r="Y187" s="140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</row>
    <row r="188" spans="1:39" ht="15.75" customHeight="1" outlineLevel="1" x14ac:dyDescent="0.2">
      <c r="A188" s="16" t="s">
        <v>309</v>
      </c>
      <c r="B188" s="54"/>
      <c r="C188" s="54"/>
      <c r="D188" s="54"/>
      <c r="E188" s="171"/>
      <c r="F188" s="120"/>
      <c r="G188" s="120"/>
      <c r="H188" s="120"/>
      <c r="I188" s="120"/>
      <c r="J188" s="120"/>
      <c r="K188" s="121"/>
      <c r="L188" s="172" t="s">
        <v>310</v>
      </c>
      <c r="M188" s="120"/>
      <c r="N188" s="120"/>
      <c r="O188" s="121"/>
      <c r="P188" s="54">
        <f t="shared" ref="P188:Q188" si="63">SUM(P189:P191)</f>
        <v>0</v>
      </c>
      <c r="Q188" s="54">
        <f t="shared" si="63"/>
        <v>0</v>
      </c>
      <c r="R188" s="54">
        <f t="shared" si="59"/>
        <v>0</v>
      </c>
      <c r="S188" s="171"/>
      <c r="T188" s="120"/>
      <c r="U188" s="120"/>
      <c r="V188" s="120"/>
      <c r="W188" s="120"/>
      <c r="X188" s="120"/>
      <c r="Y188" s="140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</row>
    <row r="189" spans="1:39" ht="15.75" customHeight="1" outlineLevel="1" x14ac:dyDescent="0.2">
      <c r="A189" s="20" t="s">
        <v>311</v>
      </c>
      <c r="B189" s="17"/>
      <c r="C189" s="17"/>
      <c r="D189" s="54"/>
      <c r="E189" s="171"/>
      <c r="F189" s="120"/>
      <c r="G189" s="120"/>
      <c r="H189" s="120"/>
      <c r="I189" s="120"/>
      <c r="J189" s="120"/>
      <c r="K189" s="121"/>
      <c r="L189" s="172" t="s">
        <v>311</v>
      </c>
      <c r="M189" s="120"/>
      <c r="N189" s="120"/>
      <c r="O189" s="121"/>
      <c r="P189" s="17"/>
      <c r="Q189" s="17"/>
      <c r="R189" s="54">
        <f t="shared" si="59"/>
        <v>0</v>
      </c>
      <c r="S189" s="171"/>
      <c r="T189" s="120"/>
      <c r="U189" s="120"/>
      <c r="V189" s="120"/>
      <c r="W189" s="120"/>
      <c r="X189" s="120"/>
      <c r="Y189" s="140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</row>
    <row r="190" spans="1:39" ht="15.75" customHeight="1" outlineLevel="1" x14ac:dyDescent="0.2">
      <c r="A190" s="20" t="s">
        <v>312</v>
      </c>
      <c r="B190" s="17"/>
      <c r="C190" s="17"/>
      <c r="D190" s="54"/>
      <c r="E190" s="171"/>
      <c r="F190" s="120"/>
      <c r="G190" s="120"/>
      <c r="H190" s="120"/>
      <c r="I190" s="120"/>
      <c r="J190" s="120"/>
      <c r="K190" s="121"/>
      <c r="L190" s="172" t="s">
        <v>312</v>
      </c>
      <c r="M190" s="120"/>
      <c r="N190" s="120"/>
      <c r="O190" s="121"/>
      <c r="P190" s="17"/>
      <c r="Q190" s="17"/>
      <c r="R190" s="54">
        <f t="shared" si="59"/>
        <v>0</v>
      </c>
      <c r="S190" s="171"/>
      <c r="T190" s="120"/>
      <c r="U190" s="120"/>
      <c r="V190" s="120"/>
      <c r="W190" s="120"/>
      <c r="X190" s="120"/>
      <c r="Y190" s="140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</row>
    <row r="191" spans="1:39" ht="15.75" customHeight="1" outlineLevel="1" x14ac:dyDescent="0.2">
      <c r="A191" s="20" t="s">
        <v>313</v>
      </c>
      <c r="B191" s="17"/>
      <c r="C191" s="17"/>
      <c r="D191" s="54"/>
      <c r="E191" s="146"/>
      <c r="F191" s="118"/>
      <c r="G191" s="118"/>
      <c r="H191" s="118"/>
      <c r="I191" s="118"/>
      <c r="J191" s="118"/>
      <c r="K191" s="118"/>
      <c r="L191" s="172" t="s">
        <v>313</v>
      </c>
      <c r="M191" s="120"/>
      <c r="N191" s="120"/>
      <c r="O191" s="121"/>
      <c r="P191" s="17"/>
      <c r="Q191" s="17"/>
      <c r="R191" s="54">
        <f t="shared" si="59"/>
        <v>0</v>
      </c>
      <c r="S191" s="171"/>
      <c r="T191" s="120"/>
      <c r="U191" s="120"/>
      <c r="V191" s="120"/>
      <c r="W191" s="120"/>
      <c r="X191" s="120"/>
      <c r="Y191" s="140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</row>
    <row r="192" spans="1:39" ht="15.75" customHeight="1" outlineLevel="1" x14ac:dyDescent="0.2">
      <c r="A192" s="165" t="s">
        <v>80</v>
      </c>
      <c r="B192" s="158" t="s">
        <v>245</v>
      </c>
      <c r="C192" s="130"/>
      <c r="D192" s="168" t="s">
        <v>25</v>
      </c>
      <c r="E192" s="159" t="s">
        <v>0</v>
      </c>
      <c r="F192" s="153"/>
      <c r="G192" s="153"/>
      <c r="H192" s="153"/>
      <c r="I192" s="153"/>
      <c r="J192" s="153"/>
      <c r="K192" s="154"/>
      <c r="L192" s="188" t="s">
        <v>80</v>
      </c>
      <c r="M192" s="118"/>
      <c r="N192" s="118"/>
      <c r="O192" s="187"/>
      <c r="P192" s="185" t="s">
        <v>245</v>
      </c>
      <c r="Q192" s="157"/>
      <c r="R192" s="257" t="s">
        <v>25</v>
      </c>
      <c r="S192" s="186" t="s">
        <v>0</v>
      </c>
      <c r="T192" s="118"/>
      <c r="U192" s="118"/>
      <c r="V192" s="118"/>
      <c r="W192" s="118"/>
      <c r="X192" s="118"/>
      <c r="Y192" s="141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</row>
    <row r="193" spans="1:39" ht="15.75" customHeight="1" outlineLevel="1" x14ac:dyDescent="0.2">
      <c r="A193" s="167"/>
      <c r="B193" s="14" t="s">
        <v>23</v>
      </c>
      <c r="C193" s="14" t="s">
        <v>24</v>
      </c>
      <c r="D193" s="128"/>
      <c r="E193" s="160"/>
      <c r="F193" s="156"/>
      <c r="G193" s="156"/>
      <c r="H193" s="156"/>
      <c r="I193" s="156"/>
      <c r="J193" s="156"/>
      <c r="K193" s="157"/>
      <c r="L193" s="160"/>
      <c r="M193" s="156"/>
      <c r="N193" s="156"/>
      <c r="O193" s="157"/>
      <c r="P193" s="14" t="s">
        <v>23</v>
      </c>
      <c r="Q193" s="14" t="s">
        <v>24</v>
      </c>
      <c r="R193" s="128"/>
      <c r="S193" s="160"/>
      <c r="T193" s="156"/>
      <c r="U193" s="156"/>
      <c r="V193" s="156"/>
      <c r="W193" s="156"/>
      <c r="X193" s="156"/>
      <c r="Y193" s="162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</row>
    <row r="194" spans="1:39" ht="15.75" customHeight="1" outlineLevel="1" x14ac:dyDescent="0.2">
      <c r="A194" s="145" t="s">
        <v>314</v>
      </c>
      <c r="B194" s="120"/>
      <c r="C194" s="120"/>
      <c r="D194" s="120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40"/>
    </row>
    <row r="195" spans="1:39" ht="15.75" customHeight="1" outlineLevel="1" x14ac:dyDescent="0.2">
      <c r="A195" s="20" t="s">
        <v>315</v>
      </c>
      <c r="B195" s="54"/>
      <c r="C195" s="54"/>
      <c r="D195" s="54"/>
      <c r="E195" s="171"/>
      <c r="F195" s="120"/>
      <c r="G195" s="120"/>
      <c r="H195" s="120"/>
      <c r="I195" s="120"/>
      <c r="J195" s="120"/>
      <c r="K195" s="121"/>
      <c r="L195" s="258" t="s">
        <v>316</v>
      </c>
      <c r="M195" s="120"/>
      <c r="N195" s="120"/>
      <c r="O195" s="121"/>
      <c r="P195" s="54"/>
      <c r="Q195" s="54"/>
      <c r="R195" s="62">
        <f t="shared" ref="R195:R204" si="64">SUM(P195:Q195)</f>
        <v>0</v>
      </c>
      <c r="S195" s="171"/>
      <c r="T195" s="120"/>
      <c r="U195" s="120"/>
      <c r="V195" s="120"/>
      <c r="W195" s="120"/>
      <c r="X195" s="120"/>
      <c r="Y195" s="140"/>
    </row>
    <row r="196" spans="1:39" ht="15.75" customHeight="1" outlineLevel="1" x14ac:dyDescent="0.2">
      <c r="A196" s="20" t="s">
        <v>317</v>
      </c>
      <c r="B196" s="17"/>
      <c r="C196" s="17"/>
      <c r="D196" s="54"/>
      <c r="E196" s="171"/>
      <c r="F196" s="120"/>
      <c r="G196" s="120"/>
      <c r="H196" s="120"/>
      <c r="I196" s="120"/>
      <c r="J196" s="120"/>
      <c r="K196" s="121"/>
      <c r="L196" s="220" t="s">
        <v>318</v>
      </c>
      <c r="M196" s="120"/>
      <c r="N196" s="120"/>
      <c r="O196" s="121"/>
      <c r="P196" s="17"/>
      <c r="Q196" s="17"/>
      <c r="R196" s="54">
        <f t="shared" si="64"/>
        <v>0</v>
      </c>
      <c r="S196" s="171"/>
      <c r="T196" s="120"/>
      <c r="U196" s="120"/>
      <c r="V196" s="120"/>
      <c r="W196" s="120"/>
      <c r="X196" s="120"/>
      <c r="Y196" s="140"/>
    </row>
    <row r="197" spans="1:39" ht="15.75" customHeight="1" outlineLevel="1" x14ac:dyDescent="0.2">
      <c r="A197" s="20" t="s">
        <v>319</v>
      </c>
      <c r="B197" s="17"/>
      <c r="C197" s="17"/>
      <c r="D197" s="54"/>
      <c r="E197" s="171"/>
      <c r="F197" s="120"/>
      <c r="G197" s="120"/>
      <c r="H197" s="120"/>
      <c r="I197" s="120"/>
      <c r="J197" s="120"/>
      <c r="K197" s="121"/>
      <c r="L197" s="220" t="s">
        <v>320</v>
      </c>
      <c r="M197" s="120"/>
      <c r="N197" s="120"/>
      <c r="O197" s="121"/>
      <c r="P197" s="17"/>
      <c r="Q197" s="17"/>
      <c r="R197" s="54">
        <f t="shared" si="64"/>
        <v>0</v>
      </c>
      <c r="S197" s="171"/>
      <c r="T197" s="120"/>
      <c r="U197" s="120"/>
      <c r="V197" s="120"/>
      <c r="W197" s="120"/>
      <c r="X197" s="120"/>
      <c r="Y197" s="140"/>
    </row>
    <row r="198" spans="1:39" ht="15.75" customHeight="1" outlineLevel="1" x14ac:dyDescent="0.2">
      <c r="A198" s="20" t="s">
        <v>321</v>
      </c>
      <c r="B198" s="17"/>
      <c r="C198" s="17"/>
      <c r="D198" s="54"/>
      <c r="E198" s="171"/>
      <c r="F198" s="120"/>
      <c r="G198" s="120"/>
      <c r="H198" s="120"/>
      <c r="I198" s="120"/>
      <c r="J198" s="120"/>
      <c r="K198" s="121"/>
      <c r="L198" s="220" t="s">
        <v>322</v>
      </c>
      <c r="M198" s="120"/>
      <c r="N198" s="120"/>
      <c r="O198" s="121"/>
      <c r="P198" s="17"/>
      <c r="Q198" s="17"/>
      <c r="R198" s="54">
        <f t="shared" si="64"/>
        <v>0</v>
      </c>
      <c r="S198" s="171"/>
      <c r="T198" s="120"/>
      <c r="U198" s="120"/>
      <c r="V198" s="120"/>
      <c r="W198" s="120"/>
      <c r="X198" s="120"/>
      <c r="Y198" s="140"/>
    </row>
    <row r="199" spans="1:39" ht="15.75" customHeight="1" outlineLevel="1" x14ac:dyDescent="0.2">
      <c r="A199" s="20" t="s">
        <v>323</v>
      </c>
      <c r="B199" s="17"/>
      <c r="C199" s="17"/>
      <c r="D199" s="54"/>
      <c r="E199" s="171"/>
      <c r="F199" s="120"/>
      <c r="G199" s="120"/>
      <c r="H199" s="120"/>
      <c r="I199" s="120"/>
      <c r="J199" s="120"/>
      <c r="K199" s="121"/>
      <c r="L199" s="220" t="s">
        <v>324</v>
      </c>
      <c r="M199" s="120"/>
      <c r="N199" s="120"/>
      <c r="O199" s="121"/>
      <c r="P199" s="17"/>
      <c r="Q199" s="17"/>
      <c r="R199" s="54">
        <f t="shared" si="64"/>
        <v>0</v>
      </c>
      <c r="S199" s="171"/>
      <c r="T199" s="120"/>
      <c r="U199" s="120"/>
      <c r="V199" s="120"/>
      <c r="W199" s="120"/>
      <c r="X199" s="120"/>
      <c r="Y199" s="140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</row>
    <row r="200" spans="1:39" ht="15.75" customHeight="1" outlineLevel="1" x14ac:dyDescent="0.2">
      <c r="A200" s="20" t="s">
        <v>325</v>
      </c>
      <c r="B200" s="64"/>
      <c r="C200" s="64"/>
      <c r="D200" s="62"/>
      <c r="E200" s="171"/>
      <c r="F200" s="120"/>
      <c r="G200" s="120"/>
      <c r="H200" s="120"/>
      <c r="I200" s="120"/>
      <c r="J200" s="120"/>
      <c r="K200" s="121"/>
      <c r="L200" s="258" t="s">
        <v>326</v>
      </c>
      <c r="M200" s="120"/>
      <c r="N200" s="120"/>
      <c r="O200" s="121"/>
      <c r="P200" s="54"/>
      <c r="Q200" s="54"/>
      <c r="R200" s="62">
        <f t="shared" si="64"/>
        <v>0</v>
      </c>
      <c r="S200" s="171"/>
      <c r="T200" s="120"/>
      <c r="U200" s="120"/>
      <c r="V200" s="120"/>
      <c r="W200" s="120"/>
      <c r="X200" s="120"/>
      <c r="Y200" s="140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</row>
    <row r="201" spans="1:39" ht="15.75" customHeight="1" outlineLevel="1" x14ac:dyDescent="0.2">
      <c r="A201" s="65" t="s">
        <v>327</v>
      </c>
      <c r="B201" s="54"/>
      <c r="C201" s="54"/>
      <c r="D201" s="62"/>
      <c r="E201" s="221"/>
      <c r="F201" s="120"/>
      <c r="G201" s="120"/>
      <c r="H201" s="120"/>
      <c r="I201" s="120"/>
      <c r="J201" s="120"/>
      <c r="K201" s="121"/>
      <c r="L201" s="220" t="s">
        <v>328</v>
      </c>
      <c r="M201" s="120"/>
      <c r="N201" s="120"/>
      <c r="O201" s="121"/>
      <c r="P201" s="17"/>
      <c r="Q201" s="17"/>
      <c r="R201" s="54">
        <f t="shared" si="64"/>
        <v>0</v>
      </c>
      <c r="S201" s="171"/>
      <c r="T201" s="120"/>
      <c r="U201" s="120"/>
      <c r="V201" s="120"/>
      <c r="W201" s="120"/>
      <c r="X201" s="120"/>
      <c r="Y201" s="140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</row>
    <row r="202" spans="1:39" ht="15.75" customHeight="1" outlineLevel="1" x14ac:dyDescent="0.2">
      <c r="A202" s="66" t="s">
        <v>329</v>
      </c>
      <c r="B202" s="17"/>
      <c r="C202" s="17"/>
      <c r="D202" s="62"/>
      <c r="E202" s="171"/>
      <c r="F202" s="120"/>
      <c r="G202" s="120"/>
      <c r="H202" s="120"/>
      <c r="I202" s="120"/>
      <c r="J202" s="120"/>
      <c r="K202" s="121"/>
      <c r="L202" s="220" t="s">
        <v>330</v>
      </c>
      <c r="M202" s="120"/>
      <c r="N202" s="120"/>
      <c r="O202" s="121"/>
      <c r="P202" s="17"/>
      <c r="Q202" s="17"/>
      <c r="R202" s="54">
        <f t="shared" si="64"/>
        <v>0</v>
      </c>
      <c r="S202" s="171"/>
      <c r="T202" s="120"/>
      <c r="U202" s="120"/>
      <c r="V202" s="120"/>
      <c r="W202" s="120"/>
      <c r="X202" s="120"/>
      <c r="Y202" s="140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</row>
    <row r="203" spans="1:39" ht="15.75" customHeight="1" outlineLevel="1" x14ac:dyDescent="0.2">
      <c r="A203" s="66" t="s">
        <v>331</v>
      </c>
      <c r="B203" s="17"/>
      <c r="C203" s="17"/>
      <c r="D203" s="62"/>
      <c r="E203" s="171"/>
      <c r="F203" s="120"/>
      <c r="G203" s="120"/>
      <c r="H203" s="120"/>
      <c r="I203" s="120"/>
      <c r="J203" s="120"/>
      <c r="K203" s="121"/>
      <c r="L203" s="220" t="s">
        <v>332</v>
      </c>
      <c r="M203" s="120"/>
      <c r="N203" s="120"/>
      <c r="O203" s="121"/>
      <c r="P203" s="17"/>
      <c r="Q203" s="17"/>
      <c r="R203" s="54">
        <f t="shared" si="64"/>
        <v>0</v>
      </c>
      <c r="S203" s="171"/>
      <c r="T203" s="120"/>
      <c r="U203" s="120"/>
      <c r="V203" s="120"/>
      <c r="W203" s="120"/>
      <c r="X203" s="120"/>
      <c r="Y203" s="140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</row>
    <row r="204" spans="1:39" ht="15.75" customHeight="1" outlineLevel="1" x14ac:dyDescent="0.2">
      <c r="A204" s="66" t="s">
        <v>333</v>
      </c>
      <c r="B204" s="17"/>
      <c r="C204" s="17"/>
      <c r="D204" s="62"/>
      <c r="E204" s="171"/>
      <c r="F204" s="120"/>
      <c r="G204" s="120"/>
      <c r="H204" s="120"/>
      <c r="I204" s="120"/>
      <c r="J204" s="120"/>
      <c r="K204" s="121"/>
      <c r="L204" s="220" t="s">
        <v>334</v>
      </c>
      <c r="M204" s="120"/>
      <c r="N204" s="120"/>
      <c r="O204" s="121"/>
      <c r="P204" s="17"/>
      <c r="Q204" s="17"/>
      <c r="R204" s="54">
        <f t="shared" si="64"/>
        <v>0</v>
      </c>
      <c r="S204" s="171"/>
      <c r="T204" s="120"/>
      <c r="U204" s="120"/>
      <c r="V204" s="120"/>
      <c r="W204" s="120"/>
      <c r="X204" s="120"/>
      <c r="Y204" s="140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</row>
    <row r="205" spans="1:39" ht="15.75" customHeight="1" outlineLevel="1" x14ac:dyDescent="0.2">
      <c r="A205" s="66" t="s">
        <v>335</v>
      </c>
      <c r="B205" s="6"/>
      <c r="C205" s="6"/>
      <c r="D205" s="62"/>
      <c r="E205" s="171"/>
      <c r="F205" s="120"/>
      <c r="G205" s="120"/>
      <c r="H205" s="120"/>
      <c r="I205" s="120"/>
      <c r="J205" s="120"/>
      <c r="K205" s="121"/>
      <c r="L205" s="218" t="s">
        <v>336</v>
      </c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40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</row>
    <row r="206" spans="1:39" ht="15.75" customHeight="1" outlineLevel="1" x14ac:dyDescent="0.2">
      <c r="A206" s="65" t="s">
        <v>337</v>
      </c>
      <c r="B206" s="54"/>
      <c r="C206" s="54"/>
      <c r="D206" s="62"/>
      <c r="E206" s="221"/>
      <c r="F206" s="120"/>
      <c r="G206" s="120"/>
      <c r="H206" s="120"/>
      <c r="I206" s="120"/>
      <c r="J206" s="120"/>
      <c r="K206" s="121"/>
      <c r="L206" s="215" t="s">
        <v>338</v>
      </c>
      <c r="M206" s="120"/>
      <c r="N206" s="120"/>
      <c r="O206" s="121"/>
      <c r="P206" s="17"/>
      <c r="Q206" s="17"/>
      <c r="R206" s="54">
        <f t="shared" ref="R206:R209" si="65">SUM(P206:Q206)</f>
        <v>0</v>
      </c>
      <c r="S206" s="171"/>
      <c r="T206" s="120"/>
      <c r="U206" s="120"/>
      <c r="V206" s="120"/>
      <c r="W206" s="120"/>
      <c r="X206" s="120"/>
      <c r="Y206" s="140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</row>
    <row r="207" spans="1:39" ht="15.75" customHeight="1" outlineLevel="1" x14ac:dyDescent="0.2">
      <c r="A207" s="66" t="s">
        <v>339</v>
      </c>
      <c r="B207" s="17"/>
      <c r="C207" s="17"/>
      <c r="D207" s="62"/>
      <c r="E207" s="171"/>
      <c r="F207" s="120"/>
      <c r="G207" s="120"/>
      <c r="H207" s="120"/>
      <c r="I207" s="120"/>
      <c r="J207" s="120"/>
      <c r="K207" s="121"/>
      <c r="L207" s="215" t="s">
        <v>340</v>
      </c>
      <c r="M207" s="120"/>
      <c r="N207" s="120"/>
      <c r="O207" s="121"/>
      <c r="P207" s="17"/>
      <c r="Q207" s="17"/>
      <c r="R207" s="54">
        <f t="shared" si="65"/>
        <v>0</v>
      </c>
      <c r="S207" s="171"/>
      <c r="T207" s="120"/>
      <c r="U207" s="120"/>
      <c r="V207" s="120"/>
      <c r="W207" s="120"/>
      <c r="X207" s="120"/>
      <c r="Y207" s="140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</row>
    <row r="208" spans="1:39" ht="15.75" customHeight="1" outlineLevel="1" x14ac:dyDescent="0.2">
      <c r="A208" s="66" t="s">
        <v>341</v>
      </c>
      <c r="B208" s="17"/>
      <c r="C208" s="17"/>
      <c r="D208" s="62"/>
      <c r="E208" s="171"/>
      <c r="F208" s="120"/>
      <c r="G208" s="120"/>
      <c r="H208" s="120"/>
      <c r="I208" s="120"/>
      <c r="J208" s="120"/>
      <c r="K208" s="121"/>
      <c r="L208" s="215" t="s">
        <v>342</v>
      </c>
      <c r="M208" s="120"/>
      <c r="N208" s="120"/>
      <c r="O208" s="121"/>
      <c r="P208" s="17"/>
      <c r="Q208" s="17"/>
      <c r="R208" s="54">
        <f t="shared" si="65"/>
        <v>0</v>
      </c>
      <c r="S208" s="171"/>
      <c r="T208" s="120"/>
      <c r="U208" s="120"/>
      <c r="V208" s="120"/>
      <c r="W208" s="120"/>
      <c r="X208" s="120"/>
      <c r="Y208" s="140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</row>
    <row r="209" spans="1:39" ht="15.75" customHeight="1" outlineLevel="1" x14ac:dyDescent="0.2">
      <c r="A209" s="66" t="s">
        <v>343</v>
      </c>
      <c r="B209" s="17"/>
      <c r="C209" s="17"/>
      <c r="D209" s="62"/>
      <c r="E209" s="171"/>
      <c r="F209" s="120"/>
      <c r="G209" s="120"/>
      <c r="H209" s="120"/>
      <c r="I209" s="120"/>
      <c r="J209" s="120"/>
      <c r="K209" s="121"/>
      <c r="L209" s="215" t="s">
        <v>344</v>
      </c>
      <c r="M209" s="120"/>
      <c r="N209" s="120"/>
      <c r="O209" s="121"/>
      <c r="P209" s="17"/>
      <c r="Q209" s="17"/>
      <c r="R209" s="54">
        <f t="shared" si="65"/>
        <v>0</v>
      </c>
      <c r="S209" s="171"/>
      <c r="T209" s="120"/>
      <c r="U209" s="120"/>
      <c r="V209" s="120"/>
      <c r="W209" s="120"/>
      <c r="X209" s="120"/>
      <c r="Y209" s="140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</row>
    <row r="210" spans="1:39" ht="15.75" customHeight="1" outlineLevel="1" x14ac:dyDescent="0.2">
      <c r="A210" s="66" t="s">
        <v>345</v>
      </c>
      <c r="B210" s="17"/>
      <c r="C210" s="17"/>
      <c r="D210" s="62"/>
      <c r="E210" s="171"/>
      <c r="F210" s="120"/>
      <c r="G210" s="120"/>
      <c r="H210" s="120"/>
      <c r="I210" s="120"/>
      <c r="J210" s="120"/>
      <c r="K210" s="121"/>
      <c r="L210" s="216" t="s">
        <v>80</v>
      </c>
      <c r="M210" s="127"/>
      <c r="N210" s="127"/>
      <c r="O210" s="126"/>
      <c r="P210" s="197" t="s">
        <v>245</v>
      </c>
      <c r="Q210" s="121"/>
      <c r="R210" s="217" t="s">
        <v>25</v>
      </c>
      <c r="S210" s="214" t="s">
        <v>0</v>
      </c>
      <c r="T210" s="127"/>
      <c r="U210" s="127"/>
      <c r="V210" s="127"/>
      <c r="W210" s="127"/>
      <c r="X210" s="127"/>
      <c r="Y210" s="132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</row>
    <row r="211" spans="1:39" ht="15.75" customHeight="1" outlineLevel="1" x14ac:dyDescent="0.2">
      <c r="A211" s="20" t="s">
        <v>346</v>
      </c>
      <c r="B211" s="54"/>
      <c r="C211" s="54"/>
      <c r="D211" s="54"/>
      <c r="E211" s="171"/>
      <c r="F211" s="120"/>
      <c r="G211" s="120"/>
      <c r="H211" s="120"/>
      <c r="I211" s="120"/>
      <c r="J211" s="120"/>
      <c r="K211" s="121"/>
      <c r="L211" s="124"/>
      <c r="M211" s="122"/>
      <c r="N211" s="122"/>
      <c r="O211" s="131"/>
      <c r="P211" s="67" t="s">
        <v>23</v>
      </c>
      <c r="Q211" s="67" t="s">
        <v>24</v>
      </c>
      <c r="R211" s="119"/>
      <c r="S211" s="124"/>
      <c r="T211" s="122"/>
      <c r="U211" s="122"/>
      <c r="V211" s="122"/>
      <c r="W211" s="122"/>
      <c r="X211" s="122"/>
      <c r="Y211" s="138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</row>
    <row r="212" spans="1:39" ht="15.75" customHeight="1" outlineLevel="1" x14ac:dyDescent="0.2">
      <c r="A212" s="20" t="s">
        <v>347</v>
      </c>
      <c r="B212" s="17"/>
      <c r="C212" s="17"/>
      <c r="D212" s="54"/>
      <c r="E212" s="171"/>
      <c r="F212" s="120"/>
      <c r="G212" s="120"/>
      <c r="H212" s="120"/>
      <c r="I212" s="120"/>
      <c r="J212" s="120"/>
      <c r="K212" s="121"/>
      <c r="L212" s="218" t="s">
        <v>348</v>
      </c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40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</row>
    <row r="213" spans="1:39" ht="15.75" customHeight="1" outlineLevel="1" x14ac:dyDescent="0.2">
      <c r="A213" s="20" t="s">
        <v>349</v>
      </c>
      <c r="B213" s="17"/>
      <c r="C213" s="17"/>
      <c r="D213" s="54"/>
      <c r="E213" s="171"/>
      <c r="F213" s="120"/>
      <c r="G213" s="120"/>
      <c r="H213" s="120"/>
      <c r="I213" s="120"/>
      <c r="J213" s="120"/>
      <c r="K213" s="121"/>
      <c r="L213" s="219" t="s">
        <v>89</v>
      </c>
      <c r="M213" s="120"/>
      <c r="N213" s="120"/>
      <c r="O213" s="121"/>
      <c r="P213" s="17"/>
      <c r="Q213" s="17"/>
      <c r="R213" s="54">
        <f t="shared" ref="R213:R224" si="66">SUM(P213:Q213)</f>
        <v>0</v>
      </c>
      <c r="S213" s="171"/>
      <c r="T213" s="120"/>
      <c r="U213" s="120"/>
      <c r="V213" s="120"/>
      <c r="W213" s="120"/>
      <c r="X213" s="120"/>
      <c r="Y213" s="140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</row>
    <row r="214" spans="1:39" ht="15.75" customHeight="1" outlineLevel="1" x14ac:dyDescent="0.2">
      <c r="A214" s="20" t="s">
        <v>350</v>
      </c>
      <c r="B214" s="17"/>
      <c r="C214" s="17"/>
      <c r="D214" s="54"/>
      <c r="E214" s="171"/>
      <c r="F214" s="120"/>
      <c r="G214" s="120"/>
      <c r="H214" s="120"/>
      <c r="I214" s="120"/>
      <c r="J214" s="120"/>
      <c r="K214" s="121"/>
      <c r="L214" s="219" t="s">
        <v>90</v>
      </c>
      <c r="M214" s="120"/>
      <c r="N214" s="120"/>
      <c r="O214" s="121"/>
      <c r="P214" s="17"/>
      <c r="Q214" s="17"/>
      <c r="R214" s="54">
        <f t="shared" si="66"/>
        <v>0</v>
      </c>
      <c r="S214" s="171"/>
      <c r="T214" s="120"/>
      <c r="U214" s="120"/>
      <c r="V214" s="120"/>
      <c r="W214" s="120"/>
      <c r="X214" s="120"/>
      <c r="Y214" s="140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</row>
    <row r="215" spans="1:39" ht="15.75" customHeight="1" outlineLevel="1" x14ac:dyDescent="0.2">
      <c r="A215" s="20" t="s">
        <v>351</v>
      </c>
      <c r="B215" s="17"/>
      <c r="C215" s="17"/>
      <c r="D215" s="54"/>
      <c r="E215" s="171"/>
      <c r="F215" s="120"/>
      <c r="G215" s="120"/>
      <c r="H215" s="120"/>
      <c r="I215" s="120"/>
      <c r="J215" s="120"/>
      <c r="K215" s="121"/>
      <c r="L215" s="222" t="s">
        <v>91</v>
      </c>
      <c r="M215" s="120"/>
      <c r="N215" s="120"/>
      <c r="O215" s="121"/>
      <c r="P215" s="17"/>
      <c r="Q215" s="17"/>
      <c r="R215" s="54">
        <f t="shared" si="66"/>
        <v>0</v>
      </c>
      <c r="S215" s="171"/>
      <c r="T215" s="120"/>
      <c r="U215" s="120"/>
      <c r="V215" s="120"/>
      <c r="W215" s="120"/>
      <c r="X215" s="120"/>
      <c r="Y215" s="140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</row>
    <row r="216" spans="1:39" ht="15.75" customHeight="1" outlineLevel="1" x14ac:dyDescent="0.2">
      <c r="A216" s="260" t="s">
        <v>80</v>
      </c>
      <c r="B216" s="197" t="s">
        <v>352</v>
      </c>
      <c r="C216" s="120"/>
      <c r="D216" s="120"/>
      <c r="E216" s="120"/>
      <c r="F216" s="120"/>
      <c r="G216" s="120"/>
      <c r="H216" s="120"/>
      <c r="I216" s="121"/>
      <c r="J216" s="214" t="s">
        <v>25</v>
      </c>
      <c r="K216" s="126"/>
      <c r="L216" s="222" t="s">
        <v>92</v>
      </c>
      <c r="M216" s="120"/>
      <c r="N216" s="120"/>
      <c r="O216" s="121"/>
      <c r="P216" s="17"/>
      <c r="Q216" s="17"/>
      <c r="R216" s="54">
        <f t="shared" si="66"/>
        <v>0</v>
      </c>
      <c r="S216" s="171"/>
      <c r="T216" s="120"/>
      <c r="U216" s="120"/>
      <c r="V216" s="120"/>
      <c r="W216" s="120"/>
      <c r="X216" s="120"/>
      <c r="Y216" s="140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</row>
    <row r="217" spans="1:39" ht="15.75" customHeight="1" outlineLevel="1" x14ac:dyDescent="0.2">
      <c r="A217" s="135"/>
      <c r="B217" s="197" t="s">
        <v>353</v>
      </c>
      <c r="C217" s="121"/>
      <c r="D217" s="259">
        <v>45949</v>
      </c>
      <c r="E217" s="121"/>
      <c r="F217" s="197" t="s">
        <v>354</v>
      </c>
      <c r="G217" s="121"/>
      <c r="H217" s="197" t="s">
        <v>355</v>
      </c>
      <c r="I217" s="121"/>
      <c r="J217" s="133"/>
      <c r="K217" s="136"/>
      <c r="L217" s="222" t="s">
        <v>93</v>
      </c>
      <c r="M217" s="120"/>
      <c r="N217" s="120"/>
      <c r="O217" s="121"/>
      <c r="P217" s="17"/>
      <c r="Q217" s="17"/>
      <c r="R217" s="54">
        <f t="shared" si="66"/>
        <v>0</v>
      </c>
      <c r="S217" s="171"/>
      <c r="T217" s="120"/>
      <c r="U217" s="120"/>
      <c r="V217" s="120"/>
      <c r="W217" s="120"/>
      <c r="X217" s="120"/>
      <c r="Y217" s="140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</row>
    <row r="218" spans="1:39" ht="15.75" customHeight="1" outlineLevel="1" x14ac:dyDescent="0.2">
      <c r="A218" s="134"/>
      <c r="B218" s="67" t="s">
        <v>23</v>
      </c>
      <c r="C218" s="67" t="s">
        <v>24</v>
      </c>
      <c r="D218" s="67" t="s">
        <v>23</v>
      </c>
      <c r="E218" s="67" t="s">
        <v>24</v>
      </c>
      <c r="F218" s="67" t="s">
        <v>23</v>
      </c>
      <c r="G218" s="67" t="s">
        <v>24</v>
      </c>
      <c r="H218" s="67" t="s">
        <v>23</v>
      </c>
      <c r="I218" s="67" t="s">
        <v>24</v>
      </c>
      <c r="J218" s="124"/>
      <c r="K218" s="131"/>
      <c r="L218" s="222" t="s">
        <v>94</v>
      </c>
      <c r="M218" s="120"/>
      <c r="N218" s="120"/>
      <c r="O218" s="121"/>
      <c r="P218" s="17"/>
      <c r="Q218" s="17"/>
      <c r="R218" s="54">
        <f t="shared" si="66"/>
        <v>0</v>
      </c>
      <c r="S218" s="171"/>
      <c r="T218" s="120"/>
      <c r="U218" s="120"/>
      <c r="V218" s="120"/>
      <c r="W218" s="120"/>
      <c r="X218" s="120"/>
      <c r="Y218" s="140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</row>
    <row r="219" spans="1:39" ht="15.75" customHeight="1" outlineLevel="1" x14ac:dyDescent="0.2">
      <c r="A219" s="68" t="s">
        <v>356</v>
      </c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222" t="s">
        <v>95</v>
      </c>
      <c r="M219" s="120"/>
      <c r="N219" s="120"/>
      <c r="O219" s="121"/>
      <c r="P219" s="17"/>
      <c r="Q219" s="17"/>
      <c r="R219" s="54">
        <f t="shared" si="66"/>
        <v>0</v>
      </c>
      <c r="S219" s="171"/>
      <c r="T219" s="120"/>
      <c r="U219" s="120"/>
      <c r="V219" s="120"/>
      <c r="W219" s="120"/>
      <c r="X219" s="120"/>
      <c r="Y219" s="140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</row>
    <row r="220" spans="1:39" ht="15.75" customHeight="1" outlineLevel="1" x14ac:dyDescent="0.2">
      <c r="A220" s="69" t="s">
        <v>357</v>
      </c>
      <c r="B220" s="17"/>
      <c r="C220" s="17"/>
      <c r="D220" s="17"/>
      <c r="E220" s="17"/>
      <c r="F220" s="17"/>
      <c r="G220" s="17"/>
      <c r="H220" s="17"/>
      <c r="I220" s="17"/>
      <c r="J220" s="175"/>
      <c r="K220" s="121"/>
      <c r="L220" s="222" t="s">
        <v>96</v>
      </c>
      <c r="M220" s="120"/>
      <c r="N220" s="120"/>
      <c r="O220" s="121"/>
      <c r="P220" s="17"/>
      <c r="Q220" s="17"/>
      <c r="R220" s="54">
        <f t="shared" si="66"/>
        <v>0</v>
      </c>
      <c r="S220" s="171"/>
      <c r="T220" s="120"/>
      <c r="U220" s="120"/>
      <c r="V220" s="120"/>
      <c r="W220" s="120"/>
      <c r="X220" s="120"/>
      <c r="Y220" s="140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</row>
    <row r="221" spans="1:39" ht="15.75" customHeight="1" outlineLevel="1" x14ac:dyDescent="0.2">
      <c r="A221" s="223"/>
      <c r="B221" s="127"/>
      <c r="C221" s="127"/>
      <c r="D221" s="127"/>
      <c r="E221" s="127"/>
      <c r="F221" s="127"/>
      <c r="G221" s="127"/>
      <c r="H221" s="127"/>
      <c r="I221" s="127"/>
      <c r="J221" s="127"/>
      <c r="K221" s="126"/>
      <c r="L221" s="222" t="s">
        <v>97</v>
      </c>
      <c r="M221" s="120"/>
      <c r="N221" s="120"/>
      <c r="O221" s="121"/>
      <c r="P221" s="17"/>
      <c r="Q221" s="17"/>
      <c r="R221" s="54">
        <f t="shared" si="66"/>
        <v>0</v>
      </c>
      <c r="S221" s="171"/>
      <c r="T221" s="120"/>
      <c r="U221" s="120"/>
      <c r="V221" s="120"/>
      <c r="W221" s="120"/>
      <c r="X221" s="120"/>
      <c r="Y221" s="140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</row>
    <row r="222" spans="1:39" ht="15.75" customHeight="1" outlineLevel="1" x14ac:dyDescent="0.2">
      <c r="A222" s="224"/>
      <c r="B222" s="118"/>
      <c r="C222" s="118"/>
      <c r="D222" s="118"/>
      <c r="E222" s="118"/>
      <c r="F222" s="118"/>
      <c r="G222" s="118"/>
      <c r="H222" s="118"/>
      <c r="I222" s="118"/>
      <c r="J222" s="118"/>
      <c r="K222" s="136"/>
      <c r="L222" s="222" t="s">
        <v>98</v>
      </c>
      <c r="M222" s="120"/>
      <c r="N222" s="120"/>
      <c r="O222" s="121"/>
      <c r="P222" s="17"/>
      <c r="Q222" s="17"/>
      <c r="R222" s="54">
        <f t="shared" si="66"/>
        <v>0</v>
      </c>
      <c r="S222" s="171"/>
      <c r="T222" s="120"/>
      <c r="U222" s="120"/>
      <c r="V222" s="120"/>
      <c r="W222" s="120"/>
      <c r="X222" s="120"/>
      <c r="Y222" s="140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</row>
    <row r="223" spans="1:39" ht="15.75" customHeight="1" outlineLevel="1" x14ac:dyDescent="0.2">
      <c r="A223" s="224"/>
      <c r="B223" s="118"/>
      <c r="C223" s="118"/>
      <c r="D223" s="118"/>
      <c r="E223" s="118"/>
      <c r="F223" s="118"/>
      <c r="G223" s="118"/>
      <c r="H223" s="118"/>
      <c r="I223" s="118"/>
      <c r="J223" s="118"/>
      <c r="K223" s="136"/>
      <c r="L223" s="222" t="s">
        <v>99</v>
      </c>
      <c r="M223" s="120"/>
      <c r="N223" s="120"/>
      <c r="O223" s="121"/>
      <c r="P223" s="17"/>
      <c r="Q223" s="17"/>
      <c r="R223" s="54">
        <f t="shared" si="66"/>
        <v>0</v>
      </c>
      <c r="S223" s="171"/>
      <c r="T223" s="120"/>
      <c r="U223" s="120"/>
      <c r="V223" s="120"/>
      <c r="W223" s="120"/>
      <c r="X223" s="120"/>
      <c r="Y223" s="140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</row>
    <row r="224" spans="1:39" ht="15.75" customHeight="1" outlineLevel="1" x14ac:dyDescent="0.2">
      <c r="A224" s="137"/>
      <c r="B224" s="122"/>
      <c r="C224" s="122"/>
      <c r="D224" s="122"/>
      <c r="E224" s="122"/>
      <c r="F224" s="122"/>
      <c r="G224" s="122"/>
      <c r="H224" s="122"/>
      <c r="I224" s="122"/>
      <c r="J224" s="122"/>
      <c r="K224" s="131"/>
      <c r="L224" s="219" t="s">
        <v>100</v>
      </c>
      <c r="M224" s="120"/>
      <c r="N224" s="120"/>
      <c r="O224" s="121"/>
      <c r="P224" s="17"/>
      <c r="Q224" s="17"/>
      <c r="R224" s="54">
        <f t="shared" si="66"/>
        <v>0</v>
      </c>
      <c r="S224" s="171"/>
      <c r="T224" s="120"/>
      <c r="U224" s="120"/>
      <c r="V224" s="120"/>
      <c r="W224" s="120"/>
      <c r="X224" s="120"/>
      <c r="Y224" s="140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</row>
    <row r="225" spans="1:39" ht="15.75" customHeight="1" outlineLevel="1" x14ac:dyDescent="0.2">
      <c r="A225" s="225" t="s">
        <v>80</v>
      </c>
      <c r="B225" s="127"/>
      <c r="C225" s="126"/>
      <c r="D225" s="217" t="s">
        <v>25</v>
      </c>
      <c r="E225" s="214" t="s">
        <v>0</v>
      </c>
      <c r="F225" s="127"/>
      <c r="G225" s="127"/>
      <c r="H225" s="127"/>
      <c r="I225" s="127"/>
      <c r="J225" s="127"/>
      <c r="K225" s="126"/>
      <c r="L225" s="216" t="s">
        <v>80</v>
      </c>
      <c r="M225" s="127"/>
      <c r="N225" s="127"/>
      <c r="O225" s="126"/>
      <c r="P225" s="217" t="s">
        <v>25</v>
      </c>
      <c r="Q225" s="214" t="s">
        <v>0</v>
      </c>
      <c r="R225" s="127"/>
      <c r="S225" s="127"/>
      <c r="T225" s="127"/>
      <c r="U225" s="127"/>
      <c r="V225" s="127"/>
      <c r="W225" s="127"/>
      <c r="X225" s="127"/>
      <c r="Y225" s="132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</row>
    <row r="226" spans="1:39" ht="15.75" customHeight="1" outlineLevel="1" x14ac:dyDescent="0.2">
      <c r="A226" s="137"/>
      <c r="B226" s="122"/>
      <c r="C226" s="131"/>
      <c r="D226" s="119"/>
      <c r="E226" s="124"/>
      <c r="F226" s="122"/>
      <c r="G226" s="122"/>
      <c r="H226" s="122"/>
      <c r="I226" s="122"/>
      <c r="J226" s="122"/>
      <c r="K226" s="131"/>
      <c r="L226" s="124"/>
      <c r="M226" s="122"/>
      <c r="N226" s="122"/>
      <c r="O226" s="131"/>
      <c r="P226" s="119"/>
      <c r="Q226" s="124"/>
      <c r="R226" s="122"/>
      <c r="S226" s="122"/>
      <c r="T226" s="122"/>
      <c r="U226" s="122"/>
      <c r="V226" s="122"/>
      <c r="W226" s="122"/>
      <c r="X226" s="122"/>
      <c r="Y226" s="138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</row>
    <row r="227" spans="1:39" ht="15.75" customHeight="1" outlineLevel="1" x14ac:dyDescent="0.2">
      <c r="A227" s="145" t="s">
        <v>358</v>
      </c>
      <c r="B227" s="120"/>
      <c r="C227" s="120"/>
      <c r="D227" s="120"/>
      <c r="E227" s="120"/>
      <c r="F227" s="120"/>
      <c r="G227" s="120"/>
      <c r="H227" s="120"/>
      <c r="I227" s="120"/>
      <c r="J227" s="120"/>
      <c r="K227" s="121"/>
      <c r="L227" s="218" t="s">
        <v>359</v>
      </c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40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</row>
    <row r="228" spans="1:39" ht="15.75" customHeight="1" outlineLevel="1" x14ac:dyDescent="0.2">
      <c r="A228" s="226" t="s">
        <v>360</v>
      </c>
      <c r="B228" s="120"/>
      <c r="C228" s="121"/>
      <c r="D228" s="54"/>
      <c r="E228" s="17"/>
      <c r="F228" s="17"/>
      <c r="G228" s="17"/>
      <c r="H228" s="17"/>
      <c r="I228" s="17"/>
      <c r="J228" s="17"/>
      <c r="K228" s="17"/>
      <c r="L228" s="215" t="s">
        <v>361</v>
      </c>
      <c r="M228" s="120"/>
      <c r="N228" s="120"/>
      <c r="O228" s="120"/>
      <c r="P228" s="120"/>
      <c r="Q228" s="120"/>
      <c r="R228" s="120"/>
      <c r="S228" s="121"/>
      <c r="T228" s="70"/>
      <c r="U228" s="17"/>
      <c r="V228" s="17"/>
      <c r="W228" s="17"/>
      <c r="X228" s="17"/>
      <c r="Y228" s="71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</row>
    <row r="229" spans="1:39" ht="15.75" customHeight="1" outlineLevel="1" x14ac:dyDescent="0.2">
      <c r="A229" s="226" t="s">
        <v>362</v>
      </c>
      <c r="B229" s="120"/>
      <c r="C229" s="121"/>
      <c r="D229" s="72"/>
      <c r="E229" s="17"/>
      <c r="F229" s="17"/>
      <c r="G229" s="17"/>
      <c r="H229" s="17"/>
      <c r="I229" s="17"/>
      <c r="J229" s="17"/>
      <c r="K229" s="17"/>
      <c r="L229" s="215" t="s">
        <v>548</v>
      </c>
      <c r="M229" s="120"/>
      <c r="N229" s="120"/>
      <c r="O229" s="120"/>
      <c r="P229" s="120"/>
      <c r="Q229" s="120"/>
      <c r="R229" s="120"/>
      <c r="S229" s="121"/>
      <c r="T229" s="70"/>
      <c r="U229" s="17"/>
      <c r="V229" s="17"/>
      <c r="W229" s="17"/>
      <c r="X229" s="17"/>
      <c r="Y229" s="71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</row>
    <row r="230" spans="1:39" ht="15.75" customHeight="1" outlineLevel="1" x14ac:dyDescent="0.2">
      <c r="A230" s="226" t="s">
        <v>363</v>
      </c>
      <c r="B230" s="120"/>
      <c r="C230" s="121"/>
      <c r="D230" s="72"/>
      <c r="E230" s="17"/>
      <c r="F230" s="17"/>
      <c r="G230" s="17"/>
      <c r="H230" s="17"/>
      <c r="I230" s="17"/>
      <c r="J230" s="17"/>
      <c r="K230" s="17"/>
      <c r="L230" s="215" t="s">
        <v>549</v>
      </c>
      <c r="M230" s="120"/>
      <c r="N230" s="120"/>
      <c r="O230" s="120"/>
      <c r="P230" s="120"/>
      <c r="Q230" s="120"/>
      <c r="R230" s="120"/>
      <c r="S230" s="121"/>
      <c r="T230" s="54">
        <f>SUM(T231:T232)</f>
        <v>0</v>
      </c>
      <c r="U230" s="17"/>
      <c r="V230" s="17"/>
      <c r="W230" s="17"/>
      <c r="X230" s="17"/>
      <c r="Y230" s="71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</row>
    <row r="231" spans="1:39" ht="15.75" customHeight="1" outlineLevel="1" x14ac:dyDescent="0.2">
      <c r="A231" s="226" t="s">
        <v>364</v>
      </c>
      <c r="B231" s="120"/>
      <c r="C231" s="121"/>
      <c r="D231" s="72"/>
      <c r="E231" s="17"/>
      <c r="F231" s="17"/>
      <c r="G231" s="17"/>
      <c r="H231" s="17"/>
      <c r="I231" s="17"/>
      <c r="J231" s="17"/>
      <c r="K231" s="17"/>
      <c r="L231" s="215" t="s">
        <v>365</v>
      </c>
      <c r="M231" s="120"/>
      <c r="N231" s="120"/>
      <c r="O231" s="120"/>
      <c r="P231" s="120"/>
      <c r="Q231" s="120"/>
      <c r="R231" s="120"/>
      <c r="S231" s="121"/>
      <c r="T231" s="17"/>
      <c r="U231" s="17"/>
      <c r="V231" s="17"/>
      <c r="W231" s="17"/>
      <c r="X231" s="17"/>
      <c r="Y231" s="71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</row>
    <row r="232" spans="1:39" ht="15.75" customHeight="1" outlineLevel="1" x14ac:dyDescent="0.2">
      <c r="A232" s="226" t="s">
        <v>366</v>
      </c>
      <c r="B232" s="120"/>
      <c r="C232" s="121"/>
      <c r="D232" s="72"/>
      <c r="E232" s="17"/>
      <c r="F232" s="17"/>
      <c r="G232" s="17"/>
      <c r="H232" s="17"/>
      <c r="I232" s="17"/>
      <c r="J232" s="17"/>
      <c r="K232" s="17"/>
      <c r="L232" s="215" t="s">
        <v>367</v>
      </c>
      <c r="M232" s="120"/>
      <c r="N232" s="120"/>
      <c r="O232" s="120"/>
      <c r="P232" s="120"/>
      <c r="Q232" s="120"/>
      <c r="R232" s="120"/>
      <c r="S232" s="121"/>
      <c r="T232" s="17"/>
      <c r="U232" s="17"/>
      <c r="V232" s="17"/>
      <c r="W232" s="17"/>
      <c r="X232" s="17"/>
      <c r="Y232" s="71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</row>
    <row r="233" spans="1:39" ht="15.75" customHeight="1" outlineLevel="1" x14ac:dyDescent="0.2">
      <c r="A233" s="226" t="s">
        <v>368</v>
      </c>
      <c r="B233" s="120"/>
      <c r="C233" s="121"/>
      <c r="D233" s="72"/>
      <c r="E233" s="17"/>
      <c r="F233" s="17"/>
      <c r="G233" s="17"/>
      <c r="H233" s="17"/>
      <c r="I233" s="17"/>
      <c r="J233" s="17"/>
      <c r="K233" s="17"/>
      <c r="L233" s="215" t="s">
        <v>550</v>
      </c>
      <c r="M233" s="120"/>
      <c r="N233" s="120"/>
      <c r="O233" s="120"/>
      <c r="P233" s="120"/>
      <c r="Q233" s="120"/>
      <c r="R233" s="120"/>
      <c r="S233" s="121"/>
      <c r="T233" s="54">
        <f>SUM(T234:T235)</f>
        <v>0</v>
      </c>
      <c r="U233" s="17"/>
      <c r="V233" s="17"/>
      <c r="W233" s="17"/>
      <c r="X233" s="17"/>
      <c r="Y233" s="71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</row>
    <row r="234" spans="1:39" ht="15.75" customHeight="1" outlineLevel="1" x14ac:dyDescent="0.2">
      <c r="A234" s="226" t="s">
        <v>369</v>
      </c>
      <c r="B234" s="120"/>
      <c r="C234" s="121"/>
      <c r="D234" s="54"/>
      <c r="E234" s="17"/>
      <c r="F234" s="17"/>
      <c r="G234" s="17"/>
      <c r="H234" s="17"/>
      <c r="I234" s="17"/>
      <c r="J234" s="17"/>
      <c r="K234" s="17"/>
      <c r="L234" s="215" t="s">
        <v>370</v>
      </c>
      <c r="M234" s="120"/>
      <c r="N234" s="120"/>
      <c r="O234" s="120"/>
      <c r="P234" s="120"/>
      <c r="Q234" s="120"/>
      <c r="R234" s="120"/>
      <c r="S234" s="121"/>
      <c r="T234" s="17"/>
      <c r="U234" s="17"/>
      <c r="V234" s="17"/>
      <c r="W234" s="17"/>
      <c r="X234" s="17"/>
      <c r="Y234" s="71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</row>
    <row r="235" spans="1:39" ht="15.75" customHeight="1" outlineLevel="1" x14ac:dyDescent="0.2">
      <c r="A235" s="227" t="s">
        <v>371</v>
      </c>
      <c r="B235" s="120"/>
      <c r="C235" s="121"/>
      <c r="D235" s="72"/>
      <c r="E235" s="17"/>
      <c r="F235" s="17"/>
      <c r="G235" s="17"/>
      <c r="H235" s="17"/>
      <c r="I235" s="17"/>
      <c r="J235" s="17"/>
      <c r="K235" s="17"/>
      <c r="L235" s="215" t="s">
        <v>372</v>
      </c>
      <c r="M235" s="120"/>
      <c r="N235" s="120"/>
      <c r="O235" s="120"/>
      <c r="P235" s="120"/>
      <c r="Q235" s="120"/>
      <c r="R235" s="120"/>
      <c r="S235" s="121"/>
      <c r="T235" s="17"/>
      <c r="U235" s="17"/>
      <c r="V235" s="17"/>
      <c r="W235" s="17"/>
      <c r="X235" s="17"/>
      <c r="Y235" s="71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</row>
    <row r="236" spans="1:39" ht="15.75" customHeight="1" outlineLevel="1" x14ac:dyDescent="0.2">
      <c r="A236" s="227" t="s">
        <v>373</v>
      </c>
      <c r="B236" s="120"/>
      <c r="C236" s="121"/>
      <c r="D236" s="72"/>
      <c r="E236" s="17"/>
      <c r="F236" s="17"/>
      <c r="G236" s="17"/>
      <c r="H236" s="17"/>
      <c r="I236" s="17"/>
      <c r="J236" s="17"/>
      <c r="K236" s="17"/>
      <c r="L236" s="215" t="s">
        <v>551</v>
      </c>
      <c r="M236" s="120"/>
      <c r="N236" s="120"/>
      <c r="O236" s="120"/>
      <c r="P236" s="120"/>
      <c r="Q236" s="120"/>
      <c r="R236" s="120"/>
      <c r="S236" s="121"/>
      <c r="T236" s="54">
        <f>SUM(T237:T238)</f>
        <v>0</v>
      </c>
      <c r="U236" s="17"/>
      <c r="V236" s="17"/>
      <c r="W236" s="17"/>
      <c r="X236" s="17"/>
      <c r="Y236" s="71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</row>
    <row r="237" spans="1:39" ht="15.75" customHeight="1" outlineLevel="1" x14ac:dyDescent="0.2">
      <c r="A237" s="226" t="s">
        <v>374</v>
      </c>
      <c r="B237" s="120"/>
      <c r="C237" s="121"/>
      <c r="D237" s="72"/>
      <c r="E237" s="17"/>
      <c r="F237" s="17"/>
      <c r="G237" s="17"/>
      <c r="H237" s="17"/>
      <c r="I237" s="17"/>
      <c r="J237" s="17"/>
      <c r="K237" s="17"/>
      <c r="L237" s="215" t="s">
        <v>375</v>
      </c>
      <c r="M237" s="120"/>
      <c r="N237" s="120"/>
      <c r="O237" s="120"/>
      <c r="P237" s="120"/>
      <c r="Q237" s="120"/>
      <c r="R237" s="120"/>
      <c r="S237" s="121"/>
      <c r="T237" s="17"/>
      <c r="U237" s="17"/>
      <c r="V237" s="17"/>
      <c r="W237" s="17"/>
      <c r="X237" s="17"/>
      <c r="Y237" s="71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</row>
    <row r="238" spans="1:39" ht="15.75" customHeight="1" outlineLevel="1" x14ac:dyDescent="0.2">
      <c r="A238" s="226" t="s">
        <v>376</v>
      </c>
      <c r="B238" s="120"/>
      <c r="C238" s="121"/>
      <c r="D238" s="54"/>
      <c r="E238" s="17"/>
      <c r="F238" s="17"/>
      <c r="G238" s="17"/>
      <c r="H238" s="17"/>
      <c r="I238" s="17"/>
      <c r="J238" s="17"/>
      <c r="K238" s="17"/>
      <c r="L238" s="215" t="s">
        <v>377</v>
      </c>
      <c r="M238" s="120"/>
      <c r="N238" s="120"/>
      <c r="O238" s="120"/>
      <c r="P238" s="120"/>
      <c r="Q238" s="120"/>
      <c r="R238" s="120"/>
      <c r="S238" s="121"/>
      <c r="T238" s="17"/>
      <c r="U238" s="17"/>
      <c r="V238" s="17"/>
      <c r="W238" s="17"/>
      <c r="X238" s="17"/>
      <c r="Y238" s="71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</row>
    <row r="239" spans="1:39" ht="15.75" customHeight="1" outlineLevel="1" x14ac:dyDescent="0.2">
      <c r="A239" s="226" t="s">
        <v>378</v>
      </c>
      <c r="B239" s="120"/>
      <c r="C239" s="121"/>
      <c r="D239" s="72"/>
      <c r="E239" s="17"/>
      <c r="F239" s="17"/>
      <c r="G239" s="17"/>
      <c r="H239" s="17"/>
      <c r="I239" s="17"/>
      <c r="J239" s="17"/>
      <c r="K239" s="17"/>
      <c r="L239" s="215" t="s">
        <v>379</v>
      </c>
      <c r="M239" s="120"/>
      <c r="N239" s="120"/>
      <c r="O239" s="120"/>
      <c r="P239" s="120"/>
      <c r="Q239" s="120"/>
      <c r="R239" s="120"/>
      <c r="S239" s="121"/>
      <c r="T239" s="54">
        <f>SUM(T240:T241)</f>
        <v>0</v>
      </c>
      <c r="U239" s="17"/>
      <c r="V239" s="17"/>
      <c r="W239" s="17"/>
      <c r="X239" s="17"/>
      <c r="Y239" s="71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</row>
    <row r="240" spans="1:39" ht="15.75" customHeight="1" outlineLevel="1" x14ac:dyDescent="0.2">
      <c r="A240" s="226" t="s">
        <v>380</v>
      </c>
      <c r="B240" s="120"/>
      <c r="C240" s="121"/>
      <c r="D240" s="72"/>
      <c r="E240" s="17"/>
      <c r="F240" s="17"/>
      <c r="G240" s="17"/>
      <c r="H240" s="17"/>
      <c r="I240" s="17"/>
      <c r="J240" s="17"/>
      <c r="K240" s="17"/>
      <c r="L240" s="171" t="s">
        <v>381</v>
      </c>
      <c r="M240" s="120"/>
      <c r="N240" s="120"/>
      <c r="O240" s="120"/>
      <c r="P240" s="120"/>
      <c r="Q240" s="120"/>
      <c r="R240" s="120"/>
      <c r="S240" s="121"/>
      <c r="T240" s="17"/>
      <c r="U240" s="17"/>
      <c r="V240" s="17"/>
      <c r="W240" s="17"/>
      <c r="X240" s="17"/>
      <c r="Y240" s="71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</row>
    <row r="241" spans="1:39" ht="15.75" customHeight="1" outlineLevel="1" x14ac:dyDescent="0.2">
      <c r="A241" s="228"/>
      <c r="B241" s="127"/>
      <c r="C241" s="127"/>
      <c r="D241" s="127"/>
      <c r="E241" s="127"/>
      <c r="F241" s="127"/>
      <c r="G241" s="127"/>
      <c r="H241" s="127"/>
      <c r="I241" s="127"/>
      <c r="J241" s="127"/>
      <c r="K241" s="126"/>
      <c r="L241" s="171" t="s">
        <v>382</v>
      </c>
      <c r="M241" s="120"/>
      <c r="N241" s="120"/>
      <c r="O241" s="120"/>
      <c r="P241" s="120"/>
      <c r="Q241" s="120"/>
      <c r="R241" s="120"/>
      <c r="S241" s="121"/>
      <c r="T241" s="17"/>
      <c r="U241" s="17"/>
      <c r="V241" s="17"/>
      <c r="W241" s="17"/>
      <c r="X241" s="17"/>
      <c r="Y241" s="71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</row>
    <row r="242" spans="1:39" ht="15.75" customHeight="1" outlineLevel="1" x14ac:dyDescent="0.2">
      <c r="A242" s="224"/>
      <c r="B242" s="118"/>
      <c r="C242" s="118"/>
      <c r="D242" s="118"/>
      <c r="E242" s="118"/>
      <c r="F242" s="118"/>
      <c r="G242" s="118"/>
      <c r="H242" s="118"/>
      <c r="I242" s="118"/>
      <c r="J242" s="118"/>
      <c r="K242" s="136"/>
      <c r="L242" s="215" t="s">
        <v>383</v>
      </c>
      <c r="M242" s="120"/>
      <c r="N242" s="120"/>
      <c r="O242" s="120"/>
      <c r="P242" s="120"/>
      <c r="Q242" s="120"/>
      <c r="R242" s="120"/>
      <c r="S242" s="121"/>
      <c r="T242" s="54">
        <f>SUM(T243:T244)</f>
        <v>0</v>
      </c>
      <c r="U242" s="17"/>
      <c r="V242" s="17"/>
      <c r="W242" s="17"/>
      <c r="X242" s="17"/>
      <c r="Y242" s="71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</row>
    <row r="243" spans="1:39" ht="15.75" customHeight="1" outlineLevel="1" x14ac:dyDescent="0.2">
      <c r="A243" s="224"/>
      <c r="B243" s="118"/>
      <c r="C243" s="118"/>
      <c r="D243" s="118"/>
      <c r="E243" s="118"/>
      <c r="F243" s="118"/>
      <c r="G243" s="118"/>
      <c r="H243" s="118"/>
      <c r="I243" s="118"/>
      <c r="J243" s="118"/>
      <c r="K243" s="136"/>
      <c r="L243" s="171" t="s">
        <v>384</v>
      </c>
      <c r="M243" s="120"/>
      <c r="N243" s="120"/>
      <c r="O243" s="120"/>
      <c r="P243" s="120"/>
      <c r="Q243" s="120"/>
      <c r="R243" s="120"/>
      <c r="S243" s="121"/>
      <c r="T243" s="17"/>
      <c r="U243" s="17"/>
      <c r="V243" s="17"/>
      <c r="W243" s="17"/>
      <c r="X243" s="17"/>
      <c r="Y243" s="71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</row>
    <row r="244" spans="1:39" ht="15.75" customHeight="1" outlineLevel="1" x14ac:dyDescent="0.2">
      <c r="A244" s="224"/>
      <c r="B244" s="118"/>
      <c r="C244" s="118"/>
      <c r="D244" s="118"/>
      <c r="E244" s="118"/>
      <c r="F244" s="118"/>
      <c r="G244" s="118"/>
      <c r="H244" s="118"/>
      <c r="I244" s="118"/>
      <c r="J244" s="118"/>
      <c r="K244" s="136"/>
      <c r="L244" s="171" t="s">
        <v>385</v>
      </c>
      <c r="M244" s="120"/>
      <c r="N244" s="120"/>
      <c r="O244" s="120"/>
      <c r="P244" s="120"/>
      <c r="Q244" s="120"/>
      <c r="R244" s="120"/>
      <c r="S244" s="121"/>
      <c r="T244" s="17"/>
      <c r="U244" s="17"/>
      <c r="V244" s="17"/>
      <c r="W244" s="17"/>
      <c r="X244" s="17"/>
      <c r="Y244" s="71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</row>
    <row r="245" spans="1:39" ht="15.75" customHeight="1" outlineLevel="1" x14ac:dyDescent="0.2">
      <c r="A245" s="137"/>
      <c r="B245" s="122"/>
      <c r="C245" s="122"/>
      <c r="D245" s="122"/>
      <c r="E245" s="122"/>
      <c r="F245" s="122"/>
      <c r="G245" s="122"/>
      <c r="H245" s="122"/>
      <c r="I245" s="122"/>
      <c r="J245" s="122"/>
      <c r="K245" s="131"/>
      <c r="L245" s="215" t="s">
        <v>386</v>
      </c>
      <c r="M245" s="120"/>
      <c r="N245" s="120"/>
      <c r="O245" s="120"/>
      <c r="P245" s="120"/>
      <c r="Q245" s="120"/>
      <c r="R245" s="120"/>
      <c r="S245" s="121"/>
      <c r="T245" s="17"/>
      <c r="U245" s="17"/>
      <c r="V245" s="17"/>
      <c r="W245" s="17"/>
      <c r="X245" s="17"/>
      <c r="Y245" s="71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</row>
    <row r="246" spans="1:39" ht="15.75" customHeight="1" collapsed="1" x14ac:dyDescent="0.2">
      <c r="A246" s="261" t="s">
        <v>387</v>
      </c>
      <c r="B246" s="156"/>
      <c r="C246" s="156"/>
      <c r="D246" s="156"/>
      <c r="E246" s="156"/>
      <c r="F246" s="156"/>
      <c r="G246" s="156"/>
      <c r="H246" s="156"/>
      <c r="I246" s="156"/>
      <c r="J246" s="156"/>
      <c r="K246" s="156"/>
      <c r="L246" s="156"/>
      <c r="M246" s="156"/>
      <c r="N246" s="156"/>
      <c r="O246" s="156"/>
      <c r="P246" s="156"/>
      <c r="Q246" s="156"/>
      <c r="R246" s="156"/>
      <c r="S246" s="156"/>
      <c r="T246" s="156"/>
      <c r="U246" s="156"/>
      <c r="V246" s="156"/>
      <c r="W246" s="156"/>
      <c r="X246" s="156"/>
      <c r="Y246" s="162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</row>
    <row r="247" spans="1:39" ht="15.75" hidden="1" customHeight="1" outlineLevel="1" x14ac:dyDescent="0.2">
      <c r="A247" s="165" t="s">
        <v>80</v>
      </c>
      <c r="B247" s="159" t="s">
        <v>25</v>
      </c>
      <c r="C247" s="154"/>
      <c r="D247" s="159" t="s">
        <v>0</v>
      </c>
      <c r="E247" s="153"/>
      <c r="F247" s="153"/>
      <c r="G247" s="153"/>
      <c r="H247" s="153"/>
      <c r="I247" s="153"/>
      <c r="J247" s="153"/>
      <c r="K247" s="154"/>
      <c r="L247" s="179" t="s">
        <v>80</v>
      </c>
      <c r="M247" s="153"/>
      <c r="N247" s="153"/>
      <c r="O247" s="154"/>
      <c r="P247" s="159" t="s">
        <v>25</v>
      </c>
      <c r="Q247" s="154"/>
      <c r="R247" s="159" t="s">
        <v>0</v>
      </c>
      <c r="S247" s="153"/>
      <c r="T247" s="153"/>
      <c r="U247" s="153"/>
      <c r="V247" s="153"/>
      <c r="W247" s="153"/>
      <c r="X247" s="153"/>
      <c r="Y247" s="161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</row>
    <row r="248" spans="1:39" ht="15.75" hidden="1" customHeight="1" outlineLevel="1" x14ac:dyDescent="0.2">
      <c r="A248" s="167"/>
      <c r="B248" s="160"/>
      <c r="C248" s="157"/>
      <c r="D248" s="160"/>
      <c r="E248" s="156"/>
      <c r="F248" s="156"/>
      <c r="G248" s="156"/>
      <c r="H248" s="156"/>
      <c r="I248" s="156"/>
      <c r="J248" s="156"/>
      <c r="K248" s="157"/>
      <c r="L248" s="160"/>
      <c r="M248" s="156"/>
      <c r="N248" s="156"/>
      <c r="O248" s="157"/>
      <c r="P248" s="160"/>
      <c r="Q248" s="157"/>
      <c r="R248" s="160"/>
      <c r="S248" s="156"/>
      <c r="T248" s="156"/>
      <c r="U248" s="156"/>
      <c r="V248" s="156"/>
      <c r="W248" s="156"/>
      <c r="X248" s="156"/>
      <c r="Y248" s="162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</row>
    <row r="249" spans="1:39" ht="15.75" hidden="1" customHeight="1" outlineLevel="1" x14ac:dyDescent="0.2">
      <c r="A249" s="139" t="s">
        <v>388</v>
      </c>
      <c r="B249" s="122"/>
      <c r="C249" s="122"/>
      <c r="D249" s="122"/>
      <c r="E249" s="122"/>
      <c r="F249" s="122"/>
      <c r="G249" s="122"/>
      <c r="H249" s="122"/>
      <c r="I249" s="122"/>
      <c r="J249" s="122"/>
      <c r="K249" s="122"/>
      <c r="L249" s="262" t="s">
        <v>389</v>
      </c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73"/>
      <c r="X249" s="73"/>
      <c r="Y249" s="74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</row>
    <row r="250" spans="1:39" ht="15.75" hidden="1" customHeight="1" outlineLevel="1" x14ac:dyDescent="0.2">
      <c r="A250" s="69" t="s">
        <v>390</v>
      </c>
      <c r="B250" s="229">
        <f>SUM(B251:C253)</f>
        <v>0</v>
      </c>
      <c r="C250" s="121"/>
      <c r="D250" s="230"/>
      <c r="E250" s="127"/>
      <c r="F250" s="127"/>
      <c r="G250" s="127"/>
      <c r="H250" s="127"/>
      <c r="I250" s="127"/>
      <c r="J250" s="127"/>
      <c r="K250" s="126"/>
      <c r="L250" s="215" t="s">
        <v>391</v>
      </c>
      <c r="M250" s="120"/>
      <c r="N250" s="120"/>
      <c r="O250" s="121"/>
      <c r="P250" s="229">
        <f>SUM(P251:Q253)</f>
        <v>0</v>
      </c>
      <c r="Q250" s="121"/>
      <c r="R250" s="123"/>
      <c r="S250" s="127"/>
      <c r="T250" s="127"/>
      <c r="U250" s="127"/>
      <c r="V250" s="127"/>
      <c r="W250" s="127"/>
      <c r="X250" s="127"/>
      <c r="Y250" s="132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</row>
    <row r="251" spans="1:39" ht="15.75" hidden="1" customHeight="1" outlineLevel="1" x14ac:dyDescent="0.2">
      <c r="A251" s="69" t="s">
        <v>392</v>
      </c>
      <c r="B251" s="231"/>
      <c r="C251" s="121"/>
      <c r="D251" s="133"/>
      <c r="E251" s="118"/>
      <c r="F251" s="118"/>
      <c r="G251" s="118"/>
      <c r="H251" s="118"/>
      <c r="I251" s="118"/>
      <c r="J251" s="118"/>
      <c r="K251" s="136"/>
      <c r="L251" s="215" t="s">
        <v>393</v>
      </c>
      <c r="M251" s="120"/>
      <c r="N251" s="120"/>
      <c r="O251" s="121"/>
      <c r="P251" s="231"/>
      <c r="Q251" s="121"/>
      <c r="R251" s="133"/>
      <c r="S251" s="118"/>
      <c r="T251" s="118"/>
      <c r="U251" s="118"/>
      <c r="V251" s="118"/>
      <c r="W251" s="118"/>
      <c r="X251" s="118"/>
      <c r="Y251" s="141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</row>
    <row r="252" spans="1:39" ht="15.75" hidden="1" customHeight="1" outlineLevel="1" x14ac:dyDescent="0.2">
      <c r="A252" s="69" t="s">
        <v>394</v>
      </c>
      <c r="B252" s="231"/>
      <c r="C252" s="121"/>
      <c r="D252" s="133"/>
      <c r="E252" s="118"/>
      <c r="F252" s="118"/>
      <c r="G252" s="118"/>
      <c r="H252" s="118"/>
      <c r="I252" s="118"/>
      <c r="J252" s="118"/>
      <c r="K252" s="136"/>
      <c r="L252" s="215" t="s">
        <v>395</v>
      </c>
      <c r="M252" s="120"/>
      <c r="N252" s="120"/>
      <c r="O252" s="121"/>
      <c r="P252" s="231"/>
      <c r="Q252" s="121"/>
      <c r="R252" s="133"/>
      <c r="S252" s="118"/>
      <c r="T252" s="118"/>
      <c r="U252" s="118"/>
      <c r="V252" s="118"/>
      <c r="W252" s="118"/>
      <c r="X252" s="118"/>
      <c r="Y252" s="141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</row>
    <row r="253" spans="1:39" ht="15.75" hidden="1" customHeight="1" outlineLevel="1" x14ac:dyDescent="0.2">
      <c r="A253" s="69" t="s">
        <v>396</v>
      </c>
      <c r="B253" s="231"/>
      <c r="C253" s="121"/>
      <c r="D253" s="124"/>
      <c r="E253" s="122"/>
      <c r="F253" s="122"/>
      <c r="G253" s="122"/>
      <c r="H253" s="122"/>
      <c r="I253" s="122"/>
      <c r="J253" s="122"/>
      <c r="K253" s="131"/>
      <c r="L253" s="215" t="s">
        <v>397</v>
      </c>
      <c r="M253" s="120"/>
      <c r="N253" s="120"/>
      <c r="O253" s="121"/>
      <c r="P253" s="231"/>
      <c r="Q253" s="121"/>
      <c r="R253" s="124"/>
      <c r="S253" s="122"/>
      <c r="T253" s="122"/>
      <c r="U253" s="122"/>
      <c r="V253" s="122"/>
      <c r="W253" s="122"/>
      <c r="X253" s="122"/>
      <c r="Y253" s="138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</row>
    <row r="254" spans="1:39" ht="15.75" hidden="1" customHeight="1" outlineLevel="1" x14ac:dyDescent="0.2">
      <c r="A254" s="69" t="s">
        <v>398</v>
      </c>
      <c r="B254" s="231"/>
      <c r="C254" s="121"/>
      <c r="D254" s="232"/>
      <c r="E254" s="120"/>
      <c r="F254" s="120"/>
      <c r="G254" s="120"/>
      <c r="H254" s="120"/>
      <c r="I254" s="120"/>
      <c r="J254" s="120"/>
      <c r="K254" s="121"/>
      <c r="L254" s="215" t="s">
        <v>399</v>
      </c>
      <c r="M254" s="120"/>
      <c r="N254" s="120"/>
      <c r="O254" s="121"/>
      <c r="P254" s="231"/>
      <c r="Q254" s="121"/>
      <c r="R254" s="171"/>
      <c r="S254" s="120"/>
      <c r="T254" s="120"/>
      <c r="U254" s="120"/>
      <c r="V254" s="120"/>
      <c r="W254" s="120"/>
      <c r="X254" s="120"/>
      <c r="Y254" s="140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</row>
    <row r="255" spans="1:39" ht="15.75" customHeight="1" x14ac:dyDescent="0.2">
      <c r="A255" s="263" t="s">
        <v>400</v>
      </c>
      <c r="B255" s="129"/>
      <c r="C255" s="129"/>
      <c r="D255" s="129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200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</row>
    <row r="256" spans="1:39" ht="15.75" customHeight="1" outlineLevel="1" x14ac:dyDescent="0.2">
      <c r="A256" s="184" t="s">
        <v>80</v>
      </c>
      <c r="B256" s="185" t="s">
        <v>245</v>
      </c>
      <c r="C256" s="156"/>
      <c r="D256" s="157"/>
      <c r="E256" s="186" t="s">
        <v>0</v>
      </c>
      <c r="F256" s="118"/>
      <c r="G256" s="118"/>
      <c r="H256" s="118"/>
      <c r="I256" s="118"/>
      <c r="J256" s="118"/>
      <c r="K256" s="187"/>
      <c r="L256" s="188" t="s">
        <v>80</v>
      </c>
      <c r="M256" s="118"/>
      <c r="N256" s="118"/>
      <c r="O256" s="118"/>
      <c r="P256" s="187"/>
      <c r="Q256" s="185" t="s">
        <v>245</v>
      </c>
      <c r="R256" s="156"/>
      <c r="S256" s="157"/>
      <c r="T256" s="186" t="s">
        <v>0</v>
      </c>
      <c r="U256" s="118"/>
      <c r="V256" s="118"/>
      <c r="W256" s="118"/>
      <c r="X256" s="118"/>
      <c r="Y256" s="141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5.75" customHeight="1" outlineLevel="1" x14ac:dyDescent="0.2">
      <c r="A257" s="167"/>
      <c r="B257" s="14" t="s">
        <v>23</v>
      </c>
      <c r="C257" s="14" t="s">
        <v>24</v>
      </c>
      <c r="D257" s="14" t="s">
        <v>25</v>
      </c>
      <c r="E257" s="160"/>
      <c r="F257" s="156"/>
      <c r="G257" s="156"/>
      <c r="H257" s="156"/>
      <c r="I257" s="156"/>
      <c r="J257" s="156"/>
      <c r="K257" s="157"/>
      <c r="L257" s="160"/>
      <c r="M257" s="156"/>
      <c r="N257" s="156"/>
      <c r="O257" s="156"/>
      <c r="P257" s="157"/>
      <c r="Q257" s="14" t="s">
        <v>23</v>
      </c>
      <c r="R257" s="14" t="s">
        <v>24</v>
      </c>
      <c r="S257" s="14" t="s">
        <v>25</v>
      </c>
      <c r="T257" s="160"/>
      <c r="U257" s="156"/>
      <c r="V257" s="156"/>
      <c r="W257" s="156"/>
      <c r="X257" s="156"/>
      <c r="Y257" s="162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5.75" customHeight="1" outlineLevel="1" x14ac:dyDescent="0.2">
      <c r="A258" s="264" t="s">
        <v>103</v>
      </c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32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</row>
    <row r="259" spans="1:39" ht="12.75" outlineLevel="1" x14ac:dyDescent="0.2">
      <c r="A259" s="77" t="s">
        <v>104</v>
      </c>
      <c r="B259" s="78"/>
      <c r="C259" s="78"/>
      <c r="D259" s="79"/>
      <c r="E259" s="203"/>
      <c r="F259" s="120"/>
      <c r="G259" s="120"/>
      <c r="H259" s="120"/>
      <c r="I259" s="120"/>
      <c r="J259" s="120"/>
      <c r="K259" s="121"/>
      <c r="L259" s="265" t="s">
        <v>106</v>
      </c>
      <c r="M259" s="120"/>
      <c r="N259" s="120"/>
      <c r="O259" s="120"/>
      <c r="P259" s="121"/>
      <c r="Q259" s="78"/>
      <c r="R259" s="78"/>
      <c r="S259" s="79"/>
      <c r="T259" s="203"/>
      <c r="U259" s="120"/>
      <c r="V259" s="120"/>
      <c r="W259" s="120"/>
      <c r="X259" s="120"/>
      <c r="Y259" s="140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</row>
    <row r="260" spans="1:39" ht="12.75" outlineLevel="1" x14ac:dyDescent="0.2">
      <c r="A260" s="80" t="s">
        <v>105</v>
      </c>
      <c r="B260" s="42"/>
      <c r="C260" s="42"/>
      <c r="D260" s="79"/>
      <c r="E260" s="203"/>
      <c r="F260" s="120"/>
      <c r="G260" s="120"/>
      <c r="H260" s="120"/>
      <c r="I260" s="120"/>
      <c r="J260" s="120"/>
      <c r="K260" s="121"/>
      <c r="L260" s="266" t="s">
        <v>107</v>
      </c>
      <c r="M260" s="120"/>
      <c r="N260" s="120"/>
      <c r="O260" s="120"/>
      <c r="P260" s="121"/>
      <c r="Q260" s="42"/>
      <c r="R260" s="42"/>
      <c r="S260" s="79"/>
      <c r="T260" s="203"/>
      <c r="U260" s="120"/>
      <c r="V260" s="120"/>
      <c r="W260" s="120"/>
      <c r="X260" s="120"/>
      <c r="Y260" s="140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</row>
    <row r="261" spans="1:39" ht="15.75" customHeight="1" outlineLevel="1" x14ac:dyDescent="0.2">
      <c r="A261" s="184" t="s">
        <v>80</v>
      </c>
      <c r="B261" s="185" t="s">
        <v>245</v>
      </c>
      <c r="C261" s="156"/>
      <c r="D261" s="157"/>
      <c r="E261" s="186" t="s">
        <v>0</v>
      </c>
      <c r="F261" s="118"/>
      <c r="G261" s="118"/>
      <c r="H261" s="118"/>
      <c r="I261" s="118"/>
      <c r="J261" s="118"/>
      <c r="K261" s="187"/>
      <c r="L261" s="188" t="s">
        <v>80</v>
      </c>
      <c r="M261" s="118"/>
      <c r="N261" s="118"/>
      <c r="O261" s="118"/>
      <c r="P261" s="187"/>
      <c r="Q261" s="185" t="s">
        <v>245</v>
      </c>
      <c r="R261" s="156"/>
      <c r="S261" s="157"/>
      <c r="T261" s="186" t="s">
        <v>0</v>
      </c>
      <c r="U261" s="118"/>
      <c r="V261" s="118"/>
      <c r="W261" s="118"/>
      <c r="X261" s="118"/>
      <c r="Y261" s="141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5.75" customHeight="1" outlineLevel="1" x14ac:dyDescent="0.2">
      <c r="A262" s="167"/>
      <c r="B262" s="14" t="s">
        <v>23</v>
      </c>
      <c r="C262" s="14" t="s">
        <v>24</v>
      </c>
      <c r="D262" s="14" t="s">
        <v>25</v>
      </c>
      <c r="E262" s="160"/>
      <c r="F262" s="156"/>
      <c r="G262" s="156"/>
      <c r="H262" s="156"/>
      <c r="I262" s="156"/>
      <c r="J262" s="156"/>
      <c r="K262" s="157"/>
      <c r="L262" s="160"/>
      <c r="M262" s="156"/>
      <c r="N262" s="156"/>
      <c r="O262" s="156"/>
      <c r="P262" s="157"/>
      <c r="Q262" s="14" t="s">
        <v>23</v>
      </c>
      <c r="R262" s="14" t="s">
        <v>24</v>
      </c>
      <c r="S262" s="14" t="s">
        <v>25</v>
      </c>
      <c r="T262" s="160"/>
      <c r="U262" s="156"/>
      <c r="V262" s="156"/>
      <c r="W262" s="156"/>
      <c r="X262" s="156"/>
      <c r="Y262" s="162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5.75" customHeight="1" outlineLevel="1" x14ac:dyDescent="0.2">
      <c r="A263" s="246" t="s">
        <v>108</v>
      </c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32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8" customHeight="1" outlineLevel="1" x14ac:dyDescent="0.2">
      <c r="A264" s="76" t="s">
        <v>109</v>
      </c>
      <c r="B264" s="81"/>
      <c r="C264" s="81"/>
      <c r="D264" s="54"/>
      <c r="E264" s="171"/>
      <c r="F264" s="120"/>
      <c r="G264" s="120"/>
      <c r="H264" s="120"/>
      <c r="I264" s="120"/>
      <c r="J264" s="120"/>
      <c r="K264" s="121"/>
      <c r="L264" s="245" t="s">
        <v>552</v>
      </c>
      <c r="M264" s="120"/>
      <c r="N264" s="120"/>
      <c r="O264" s="120"/>
      <c r="P264" s="121"/>
      <c r="Q264" s="81"/>
      <c r="R264" s="81"/>
      <c r="S264" s="54"/>
      <c r="T264" s="171"/>
      <c r="U264" s="120"/>
      <c r="V264" s="120"/>
      <c r="W264" s="120"/>
      <c r="X264" s="120"/>
      <c r="Y264" s="121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2.75" outlineLevel="1" x14ac:dyDescent="0.2">
      <c r="A265" s="82" t="s">
        <v>110</v>
      </c>
      <c r="B265" s="83"/>
      <c r="C265" s="83"/>
      <c r="D265" s="54"/>
      <c r="E265" s="171"/>
      <c r="F265" s="120"/>
      <c r="G265" s="120"/>
      <c r="H265" s="120"/>
      <c r="I265" s="120"/>
      <c r="J265" s="120"/>
      <c r="K265" s="121"/>
      <c r="L265" s="215" t="s">
        <v>141</v>
      </c>
      <c r="M265" s="120"/>
      <c r="N265" s="120"/>
      <c r="O265" s="120"/>
      <c r="P265" s="121"/>
      <c r="Q265" s="17"/>
      <c r="R265" s="17"/>
      <c r="S265" s="54"/>
      <c r="T265" s="171"/>
      <c r="U265" s="120"/>
      <c r="V265" s="120"/>
      <c r="W265" s="120"/>
      <c r="X265" s="120"/>
      <c r="Y265" s="121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2.75" outlineLevel="1" x14ac:dyDescent="0.2">
      <c r="A266" s="82" t="s">
        <v>111</v>
      </c>
      <c r="B266" s="83"/>
      <c r="C266" s="83"/>
      <c r="D266" s="54"/>
      <c r="E266" s="171"/>
      <c r="F266" s="120"/>
      <c r="G266" s="120"/>
      <c r="H266" s="120"/>
      <c r="I266" s="120"/>
      <c r="J266" s="120"/>
      <c r="K266" s="121"/>
      <c r="L266" s="215" t="s">
        <v>142</v>
      </c>
      <c r="M266" s="120"/>
      <c r="N266" s="120"/>
      <c r="O266" s="120"/>
      <c r="P266" s="121"/>
      <c r="Q266" s="17"/>
      <c r="R266" s="17"/>
      <c r="S266" s="54"/>
      <c r="T266" s="171"/>
      <c r="U266" s="120"/>
      <c r="V266" s="120"/>
      <c r="W266" s="120"/>
      <c r="X266" s="120"/>
      <c r="Y266" s="121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2.75" outlineLevel="1" x14ac:dyDescent="0.2">
      <c r="A267" s="82" t="s">
        <v>112</v>
      </c>
      <c r="B267" s="83"/>
      <c r="C267" s="83"/>
      <c r="D267" s="54"/>
      <c r="E267" s="171"/>
      <c r="F267" s="120"/>
      <c r="G267" s="120"/>
      <c r="H267" s="120"/>
      <c r="I267" s="120"/>
      <c r="J267" s="120"/>
      <c r="K267" s="121"/>
      <c r="L267" s="215" t="s">
        <v>143</v>
      </c>
      <c r="M267" s="120"/>
      <c r="N267" s="120"/>
      <c r="O267" s="120"/>
      <c r="P267" s="121"/>
      <c r="Q267" s="17"/>
      <c r="R267" s="17"/>
      <c r="S267" s="54"/>
      <c r="T267" s="171"/>
      <c r="U267" s="120"/>
      <c r="V267" s="120"/>
      <c r="W267" s="120"/>
      <c r="X267" s="120"/>
      <c r="Y267" s="121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2.75" outlineLevel="1" x14ac:dyDescent="0.2">
      <c r="A268" s="82" t="s">
        <v>113</v>
      </c>
      <c r="B268" s="83"/>
      <c r="C268" s="83"/>
      <c r="D268" s="54"/>
      <c r="E268" s="171"/>
      <c r="F268" s="120"/>
      <c r="G268" s="120"/>
      <c r="H268" s="120"/>
      <c r="I268" s="120"/>
      <c r="J268" s="120"/>
      <c r="K268" s="121"/>
      <c r="L268" s="215" t="s">
        <v>144</v>
      </c>
      <c r="M268" s="120"/>
      <c r="N268" s="120"/>
      <c r="O268" s="120"/>
      <c r="P268" s="121"/>
      <c r="Q268" s="17"/>
      <c r="R268" s="17"/>
      <c r="S268" s="54"/>
      <c r="T268" s="171"/>
      <c r="U268" s="120"/>
      <c r="V268" s="120"/>
      <c r="W268" s="120"/>
      <c r="X268" s="120"/>
      <c r="Y268" s="121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2.75" outlineLevel="1" x14ac:dyDescent="0.2">
      <c r="A269" s="82" t="s">
        <v>114</v>
      </c>
      <c r="B269" s="83"/>
      <c r="C269" s="83"/>
      <c r="D269" s="54"/>
      <c r="E269" s="171"/>
      <c r="F269" s="120"/>
      <c r="G269" s="120"/>
      <c r="H269" s="120"/>
      <c r="I269" s="120"/>
      <c r="J269" s="120"/>
      <c r="K269" s="121"/>
      <c r="L269" s="245" t="s">
        <v>553</v>
      </c>
      <c r="M269" s="120"/>
      <c r="N269" s="120"/>
      <c r="O269" s="120"/>
      <c r="P269" s="121"/>
      <c r="Q269" s="81"/>
      <c r="R269" s="81"/>
      <c r="S269" s="54"/>
      <c r="T269" s="171"/>
      <c r="U269" s="120"/>
      <c r="V269" s="120"/>
      <c r="W269" s="120"/>
      <c r="X269" s="120"/>
      <c r="Y269" s="121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2.75" outlineLevel="1" x14ac:dyDescent="0.2">
      <c r="A270" s="76" t="s">
        <v>115</v>
      </c>
      <c r="B270" s="81"/>
      <c r="C270" s="81"/>
      <c r="D270" s="54"/>
      <c r="E270" s="171"/>
      <c r="F270" s="120"/>
      <c r="G270" s="120"/>
      <c r="H270" s="120"/>
      <c r="I270" s="120"/>
      <c r="J270" s="120"/>
      <c r="K270" s="121"/>
      <c r="L270" s="215" t="s">
        <v>554</v>
      </c>
      <c r="M270" s="120"/>
      <c r="N270" s="120"/>
      <c r="O270" s="120"/>
      <c r="P270" s="121"/>
      <c r="Q270" s="17"/>
      <c r="R270" s="17"/>
      <c r="S270" s="54"/>
      <c r="T270" s="171"/>
      <c r="U270" s="120"/>
      <c r="V270" s="120"/>
      <c r="W270" s="120"/>
      <c r="X270" s="120"/>
      <c r="Y270" s="121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5" customHeight="1" outlineLevel="1" x14ac:dyDescent="0.2">
      <c r="A271" s="82" t="s">
        <v>116</v>
      </c>
      <c r="B271" s="83"/>
      <c r="C271" s="83"/>
      <c r="D271" s="54"/>
      <c r="E271" s="171"/>
      <c r="F271" s="120"/>
      <c r="G271" s="120"/>
      <c r="H271" s="120"/>
      <c r="I271" s="120"/>
      <c r="J271" s="120"/>
      <c r="K271" s="121"/>
      <c r="L271" s="215" t="s">
        <v>555</v>
      </c>
      <c r="M271" s="120"/>
      <c r="N271" s="120"/>
      <c r="O271" s="120"/>
      <c r="P271" s="121"/>
      <c r="Q271" s="17"/>
      <c r="R271" s="17"/>
      <c r="S271" s="54"/>
      <c r="T271" s="171"/>
      <c r="U271" s="120"/>
      <c r="V271" s="120"/>
      <c r="W271" s="120"/>
      <c r="X271" s="120"/>
      <c r="Y271" s="121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2.75" outlineLevel="1" x14ac:dyDescent="0.2">
      <c r="A272" s="82" t="s">
        <v>117</v>
      </c>
      <c r="B272" s="83"/>
      <c r="C272" s="83"/>
      <c r="D272" s="54"/>
      <c r="E272" s="171"/>
      <c r="F272" s="120"/>
      <c r="G272" s="120"/>
      <c r="H272" s="120"/>
      <c r="I272" s="120"/>
      <c r="J272" s="120"/>
      <c r="K272" s="121"/>
      <c r="L272" s="245" t="s">
        <v>401</v>
      </c>
      <c r="M272" s="120"/>
      <c r="N272" s="120"/>
      <c r="O272" s="120"/>
      <c r="P272" s="121"/>
      <c r="Q272" s="81"/>
      <c r="R272" s="81"/>
      <c r="S272" s="54"/>
      <c r="T272" s="171"/>
      <c r="U272" s="120"/>
      <c r="V272" s="120"/>
      <c r="W272" s="120"/>
      <c r="X272" s="120"/>
      <c r="Y272" s="121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2.75" outlineLevel="1" x14ac:dyDescent="0.2">
      <c r="A273" s="82" t="s">
        <v>118</v>
      </c>
      <c r="B273" s="83"/>
      <c r="C273" s="83"/>
      <c r="D273" s="54"/>
      <c r="E273" s="171"/>
      <c r="F273" s="120"/>
      <c r="G273" s="120"/>
      <c r="H273" s="120"/>
      <c r="I273" s="120"/>
      <c r="J273" s="120"/>
      <c r="K273" s="121"/>
      <c r="L273" s="215" t="s">
        <v>145</v>
      </c>
      <c r="M273" s="120"/>
      <c r="N273" s="120"/>
      <c r="O273" s="120"/>
      <c r="P273" s="121"/>
      <c r="Q273" s="17"/>
      <c r="R273" s="17"/>
      <c r="S273" s="54"/>
      <c r="T273" s="171"/>
      <c r="U273" s="120"/>
      <c r="V273" s="120"/>
      <c r="W273" s="120"/>
      <c r="X273" s="120"/>
      <c r="Y273" s="121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2.75" outlineLevel="1" x14ac:dyDescent="0.2">
      <c r="A274" s="82" t="s">
        <v>119</v>
      </c>
      <c r="B274" s="83"/>
      <c r="C274" s="83"/>
      <c r="D274" s="54"/>
      <c r="E274" s="171"/>
      <c r="F274" s="120"/>
      <c r="G274" s="120"/>
      <c r="H274" s="120"/>
      <c r="I274" s="120"/>
      <c r="J274" s="120"/>
      <c r="K274" s="121"/>
      <c r="L274" s="215" t="s">
        <v>146</v>
      </c>
      <c r="M274" s="120"/>
      <c r="N274" s="120"/>
      <c r="O274" s="120"/>
      <c r="P274" s="121"/>
      <c r="Q274" s="17"/>
      <c r="R274" s="17"/>
      <c r="S274" s="54"/>
      <c r="T274" s="171"/>
      <c r="U274" s="120"/>
      <c r="V274" s="120"/>
      <c r="W274" s="120"/>
      <c r="X274" s="120"/>
      <c r="Y274" s="121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2.75" outlineLevel="1" x14ac:dyDescent="0.2">
      <c r="A275" s="82" t="s">
        <v>120</v>
      </c>
      <c r="B275" s="83"/>
      <c r="C275" s="83"/>
      <c r="D275" s="54"/>
      <c r="E275" s="171"/>
      <c r="F275" s="120"/>
      <c r="G275" s="120"/>
      <c r="H275" s="120"/>
      <c r="I275" s="120"/>
      <c r="J275" s="120"/>
      <c r="K275" s="121"/>
      <c r="L275" s="245" t="s">
        <v>147</v>
      </c>
      <c r="M275" s="120"/>
      <c r="N275" s="120"/>
      <c r="O275" s="120"/>
      <c r="P275" s="121"/>
      <c r="Q275" s="81"/>
      <c r="R275" s="81"/>
      <c r="S275" s="54"/>
      <c r="T275" s="171"/>
      <c r="U275" s="120"/>
      <c r="V275" s="120"/>
      <c r="W275" s="120"/>
      <c r="X275" s="120"/>
      <c r="Y275" s="121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25.5" outlineLevel="1" x14ac:dyDescent="0.2">
      <c r="A276" s="76" t="s">
        <v>121</v>
      </c>
      <c r="B276" s="81"/>
      <c r="C276" s="81"/>
      <c r="D276" s="54"/>
      <c r="E276" s="171"/>
      <c r="F276" s="120"/>
      <c r="G276" s="120"/>
      <c r="H276" s="120"/>
      <c r="I276" s="120"/>
      <c r="J276" s="120"/>
      <c r="K276" s="121"/>
      <c r="L276" s="215" t="s">
        <v>148</v>
      </c>
      <c r="M276" s="120"/>
      <c r="N276" s="120"/>
      <c r="O276" s="120"/>
      <c r="P276" s="121"/>
      <c r="Q276" s="17"/>
      <c r="R276" s="17"/>
      <c r="S276" s="54"/>
      <c r="T276" s="171"/>
      <c r="U276" s="120"/>
      <c r="V276" s="120"/>
      <c r="W276" s="120"/>
      <c r="X276" s="120"/>
      <c r="Y276" s="121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2.75" outlineLevel="1" x14ac:dyDescent="0.2">
      <c r="A277" s="82" t="s">
        <v>122</v>
      </c>
      <c r="B277" s="84"/>
      <c r="C277" s="84"/>
      <c r="D277" s="54"/>
      <c r="E277" s="171"/>
      <c r="F277" s="120"/>
      <c r="G277" s="120"/>
      <c r="H277" s="120"/>
      <c r="I277" s="120"/>
      <c r="J277" s="120"/>
      <c r="K277" s="121"/>
      <c r="L277" s="215" t="s">
        <v>149</v>
      </c>
      <c r="M277" s="120"/>
      <c r="N277" s="120"/>
      <c r="O277" s="120"/>
      <c r="P277" s="121"/>
      <c r="Q277" s="17"/>
      <c r="R277" s="17"/>
      <c r="S277" s="54"/>
      <c r="T277" s="171"/>
      <c r="U277" s="120"/>
      <c r="V277" s="120"/>
      <c r="W277" s="120"/>
      <c r="X277" s="120"/>
      <c r="Y277" s="121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2.75" outlineLevel="1" x14ac:dyDescent="0.2">
      <c r="A278" s="82" t="s">
        <v>123</v>
      </c>
      <c r="B278" s="83"/>
      <c r="C278" s="83"/>
      <c r="D278" s="54"/>
      <c r="E278" s="171"/>
      <c r="F278" s="120"/>
      <c r="G278" s="120"/>
      <c r="H278" s="120"/>
      <c r="I278" s="120"/>
      <c r="J278" s="120"/>
      <c r="K278" s="121"/>
      <c r="L278" s="215" t="s">
        <v>150</v>
      </c>
      <c r="M278" s="120"/>
      <c r="N278" s="120"/>
      <c r="O278" s="120"/>
      <c r="P278" s="121"/>
      <c r="Q278" s="17"/>
      <c r="R278" s="17"/>
      <c r="S278" s="54"/>
      <c r="T278" s="171"/>
      <c r="U278" s="120"/>
      <c r="V278" s="120"/>
      <c r="W278" s="120"/>
      <c r="X278" s="120"/>
      <c r="Y278" s="121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2.75" outlineLevel="1" x14ac:dyDescent="0.2">
      <c r="A279" s="82" t="s">
        <v>124</v>
      </c>
      <c r="B279" s="83"/>
      <c r="C279" s="83"/>
      <c r="D279" s="54"/>
      <c r="E279" s="171"/>
      <c r="F279" s="120"/>
      <c r="G279" s="120"/>
      <c r="H279" s="120"/>
      <c r="I279" s="120"/>
      <c r="J279" s="120"/>
      <c r="K279" s="121"/>
      <c r="L279" s="215" t="s">
        <v>151</v>
      </c>
      <c r="M279" s="120"/>
      <c r="N279" s="120"/>
      <c r="O279" s="120"/>
      <c r="P279" s="121"/>
      <c r="Q279" s="17"/>
      <c r="R279" s="17"/>
      <c r="S279" s="54"/>
      <c r="T279" s="171"/>
      <c r="U279" s="120"/>
      <c r="V279" s="120"/>
      <c r="W279" s="120"/>
      <c r="X279" s="120"/>
      <c r="Y279" s="121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2.75" outlineLevel="1" x14ac:dyDescent="0.2">
      <c r="A280" s="82" t="s">
        <v>125</v>
      </c>
      <c r="B280" s="83"/>
      <c r="C280" s="83"/>
      <c r="D280" s="54"/>
      <c r="E280" s="171"/>
      <c r="F280" s="120"/>
      <c r="G280" s="120"/>
      <c r="H280" s="120"/>
      <c r="I280" s="120"/>
      <c r="J280" s="120"/>
      <c r="K280" s="121"/>
      <c r="L280" s="245" t="s">
        <v>152</v>
      </c>
      <c r="M280" s="120"/>
      <c r="N280" s="120"/>
      <c r="O280" s="120"/>
      <c r="P280" s="121"/>
      <c r="Q280" s="81"/>
      <c r="R280" s="81"/>
      <c r="S280" s="54"/>
      <c r="T280" s="171"/>
      <c r="U280" s="120"/>
      <c r="V280" s="120"/>
      <c r="W280" s="120"/>
      <c r="X280" s="120"/>
      <c r="Y280" s="121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25.5" outlineLevel="1" x14ac:dyDescent="0.2">
      <c r="A281" s="76" t="s">
        <v>402</v>
      </c>
      <c r="B281" s="81"/>
      <c r="C281" s="81"/>
      <c r="D281" s="54"/>
      <c r="E281" s="171"/>
      <c r="F281" s="120"/>
      <c r="G281" s="120"/>
      <c r="H281" s="120"/>
      <c r="I281" s="120"/>
      <c r="J281" s="120"/>
      <c r="K281" s="121"/>
      <c r="L281" s="215" t="s">
        <v>153</v>
      </c>
      <c r="M281" s="120"/>
      <c r="N281" s="120"/>
      <c r="O281" s="120"/>
      <c r="P281" s="121"/>
      <c r="Q281" s="17"/>
      <c r="R281" s="17"/>
      <c r="S281" s="54"/>
      <c r="T281" s="171"/>
      <c r="U281" s="120"/>
      <c r="V281" s="120"/>
      <c r="W281" s="120"/>
      <c r="X281" s="120"/>
      <c r="Y281" s="121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2.75" outlineLevel="1" x14ac:dyDescent="0.2">
      <c r="A282" s="82" t="s">
        <v>403</v>
      </c>
      <c r="B282" s="84"/>
      <c r="C282" s="84"/>
      <c r="D282" s="54"/>
      <c r="E282" s="171"/>
      <c r="F282" s="120"/>
      <c r="G282" s="120"/>
      <c r="H282" s="120"/>
      <c r="I282" s="120"/>
      <c r="J282" s="120"/>
      <c r="K282" s="121"/>
      <c r="L282" s="215" t="s">
        <v>154</v>
      </c>
      <c r="M282" s="120"/>
      <c r="N282" s="120"/>
      <c r="O282" s="120"/>
      <c r="P282" s="121"/>
      <c r="Q282" s="17"/>
      <c r="R282" s="17"/>
      <c r="S282" s="54"/>
      <c r="T282" s="171"/>
      <c r="U282" s="120"/>
      <c r="V282" s="120"/>
      <c r="W282" s="120"/>
      <c r="X282" s="120"/>
      <c r="Y282" s="121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2.75" outlineLevel="1" x14ac:dyDescent="0.2">
      <c r="A283" s="82" t="s">
        <v>404</v>
      </c>
      <c r="B283" s="83"/>
      <c r="C283" s="83"/>
      <c r="D283" s="54"/>
      <c r="E283" s="171"/>
      <c r="F283" s="120"/>
      <c r="G283" s="120"/>
      <c r="H283" s="120"/>
      <c r="I283" s="120"/>
      <c r="J283" s="120"/>
      <c r="K283" s="121"/>
      <c r="L283" s="215" t="s">
        <v>155</v>
      </c>
      <c r="M283" s="120"/>
      <c r="N283" s="120"/>
      <c r="O283" s="120"/>
      <c r="P283" s="121"/>
      <c r="Q283" s="17"/>
      <c r="R283" s="17"/>
      <c r="S283" s="54"/>
      <c r="T283" s="171"/>
      <c r="U283" s="120"/>
      <c r="V283" s="120"/>
      <c r="W283" s="120"/>
      <c r="X283" s="120"/>
      <c r="Y283" s="121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2.75" outlineLevel="1" x14ac:dyDescent="0.2">
      <c r="A284" s="76" t="s">
        <v>126</v>
      </c>
      <c r="B284" s="81"/>
      <c r="C284" s="81"/>
      <c r="D284" s="54"/>
      <c r="E284" s="171"/>
      <c r="F284" s="120"/>
      <c r="G284" s="120"/>
      <c r="H284" s="120"/>
      <c r="I284" s="120"/>
      <c r="J284" s="120"/>
      <c r="K284" s="121"/>
      <c r="L284" s="215" t="s">
        <v>156</v>
      </c>
      <c r="M284" s="120"/>
      <c r="N284" s="120"/>
      <c r="O284" s="120"/>
      <c r="P284" s="121"/>
      <c r="Q284" s="17"/>
      <c r="R284" s="17"/>
      <c r="S284" s="54"/>
      <c r="T284" s="171"/>
      <c r="U284" s="120"/>
      <c r="V284" s="120"/>
      <c r="W284" s="120"/>
      <c r="X284" s="120"/>
      <c r="Y284" s="121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2.75" outlineLevel="1" x14ac:dyDescent="0.2">
      <c r="A285" s="82" t="s">
        <v>127</v>
      </c>
      <c r="B285" s="83"/>
      <c r="C285" s="83"/>
      <c r="D285" s="54"/>
      <c r="E285" s="171"/>
      <c r="F285" s="120"/>
      <c r="G285" s="120"/>
      <c r="H285" s="120"/>
      <c r="I285" s="120"/>
      <c r="J285" s="120"/>
      <c r="K285" s="121"/>
      <c r="L285" s="245" t="s">
        <v>157</v>
      </c>
      <c r="M285" s="120"/>
      <c r="N285" s="120"/>
      <c r="O285" s="120"/>
      <c r="P285" s="121"/>
      <c r="Q285" s="81"/>
      <c r="R285" s="81"/>
      <c r="S285" s="54"/>
      <c r="T285" s="171"/>
      <c r="U285" s="120"/>
      <c r="V285" s="120"/>
      <c r="W285" s="120"/>
      <c r="X285" s="120"/>
      <c r="Y285" s="121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2.75" outlineLevel="1" x14ac:dyDescent="0.2">
      <c r="A286" s="82" t="s">
        <v>128</v>
      </c>
      <c r="B286" s="83"/>
      <c r="C286" s="83"/>
      <c r="D286" s="54"/>
      <c r="E286" s="171"/>
      <c r="F286" s="120"/>
      <c r="G286" s="120"/>
      <c r="H286" s="120"/>
      <c r="I286" s="120"/>
      <c r="J286" s="120"/>
      <c r="K286" s="121"/>
      <c r="L286" s="215" t="s">
        <v>158</v>
      </c>
      <c r="M286" s="120"/>
      <c r="N286" s="120"/>
      <c r="O286" s="120"/>
      <c r="P286" s="121"/>
      <c r="Q286" s="17"/>
      <c r="R286" s="17"/>
      <c r="S286" s="54"/>
      <c r="T286" s="171"/>
      <c r="U286" s="120"/>
      <c r="V286" s="120"/>
      <c r="W286" s="120"/>
      <c r="X286" s="120"/>
      <c r="Y286" s="121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2.75" outlineLevel="1" x14ac:dyDescent="0.2">
      <c r="A287" s="82" t="s">
        <v>129</v>
      </c>
      <c r="B287" s="83"/>
      <c r="C287" s="83"/>
      <c r="D287" s="54"/>
      <c r="E287" s="171"/>
      <c r="F287" s="120"/>
      <c r="G287" s="120"/>
      <c r="H287" s="120"/>
      <c r="I287" s="120"/>
      <c r="J287" s="120"/>
      <c r="K287" s="121"/>
      <c r="L287" s="215" t="s">
        <v>159</v>
      </c>
      <c r="M287" s="120"/>
      <c r="N287" s="120"/>
      <c r="O287" s="120"/>
      <c r="P287" s="121"/>
      <c r="Q287" s="17"/>
      <c r="R287" s="17"/>
      <c r="S287" s="54"/>
      <c r="T287" s="171"/>
      <c r="U287" s="120"/>
      <c r="V287" s="120"/>
      <c r="W287" s="120"/>
      <c r="X287" s="120"/>
      <c r="Y287" s="121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2.75" outlineLevel="1" x14ac:dyDescent="0.2">
      <c r="A288" s="82" t="s">
        <v>130</v>
      </c>
      <c r="B288" s="83"/>
      <c r="C288" s="83"/>
      <c r="D288" s="54"/>
      <c r="E288" s="171"/>
      <c r="F288" s="120"/>
      <c r="G288" s="120"/>
      <c r="H288" s="120"/>
      <c r="I288" s="120"/>
      <c r="J288" s="120"/>
      <c r="K288" s="121"/>
      <c r="L288" s="215" t="s">
        <v>160</v>
      </c>
      <c r="M288" s="120"/>
      <c r="N288" s="120"/>
      <c r="O288" s="120"/>
      <c r="P288" s="121"/>
      <c r="Q288" s="17"/>
      <c r="R288" s="17"/>
      <c r="S288" s="54"/>
      <c r="T288" s="171"/>
      <c r="U288" s="120"/>
      <c r="V288" s="120"/>
      <c r="W288" s="120"/>
      <c r="X288" s="120"/>
      <c r="Y288" s="121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25.5" outlineLevel="1" x14ac:dyDescent="0.2">
      <c r="A289" s="76" t="s">
        <v>131</v>
      </c>
      <c r="B289" s="81"/>
      <c r="C289" s="81"/>
      <c r="D289" s="54"/>
      <c r="E289" s="171"/>
      <c r="F289" s="120"/>
      <c r="G289" s="120"/>
      <c r="H289" s="120"/>
      <c r="I289" s="120"/>
      <c r="J289" s="120"/>
      <c r="K289" s="121"/>
      <c r="L289" s="215" t="s">
        <v>161</v>
      </c>
      <c r="M289" s="120"/>
      <c r="N289" s="120"/>
      <c r="O289" s="120"/>
      <c r="P289" s="121"/>
      <c r="Q289" s="17"/>
      <c r="R289" s="17"/>
      <c r="S289" s="54"/>
      <c r="T289" s="171"/>
      <c r="U289" s="120"/>
      <c r="V289" s="120"/>
      <c r="W289" s="120"/>
      <c r="X289" s="120"/>
      <c r="Y289" s="121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2.75" outlineLevel="1" x14ac:dyDescent="0.2">
      <c r="A290" s="85" t="s">
        <v>132</v>
      </c>
      <c r="B290" s="83"/>
      <c r="C290" s="83"/>
      <c r="D290" s="54"/>
      <c r="E290" s="171"/>
      <c r="F290" s="120"/>
      <c r="G290" s="120"/>
      <c r="H290" s="120"/>
      <c r="I290" s="120"/>
      <c r="J290" s="120"/>
      <c r="K290" s="121"/>
      <c r="L290" s="215" t="s">
        <v>162</v>
      </c>
      <c r="M290" s="120"/>
      <c r="N290" s="120"/>
      <c r="O290" s="120"/>
      <c r="P290" s="121"/>
      <c r="Q290" s="17"/>
      <c r="R290" s="17"/>
      <c r="S290" s="54"/>
      <c r="T290" s="171"/>
      <c r="U290" s="120"/>
      <c r="V290" s="120"/>
      <c r="W290" s="120"/>
      <c r="X290" s="120"/>
      <c r="Y290" s="121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2.75" outlineLevel="1" x14ac:dyDescent="0.2">
      <c r="A291" s="85" t="s">
        <v>133</v>
      </c>
      <c r="B291" s="83"/>
      <c r="C291" s="83"/>
      <c r="D291" s="54"/>
      <c r="E291" s="171"/>
      <c r="F291" s="120"/>
      <c r="G291" s="120"/>
      <c r="H291" s="120"/>
      <c r="I291" s="120"/>
      <c r="J291" s="120"/>
      <c r="K291" s="121"/>
      <c r="L291" s="245" t="s">
        <v>163</v>
      </c>
      <c r="M291" s="120"/>
      <c r="N291" s="120"/>
      <c r="O291" s="120"/>
      <c r="P291" s="121"/>
      <c r="Q291" s="81"/>
      <c r="R291" s="81"/>
      <c r="S291" s="54"/>
      <c r="T291" s="171"/>
      <c r="U291" s="120"/>
      <c r="V291" s="120"/>
      <c r="W291" s="120"/>
      <c r="X291" s="120"/>
      <c r="Y291" s="121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2.75" outlineLevel="1" x14ac:dyDescent="0.2">
      <c r="A292" s="85" t="s">
        <v>134</v>
      </c>
      <c r="B292" s="83"/>
      <c r="C292" s="83"/>
      <c r="D292" s="54"/>
      <c r="E292" s="171"/>
      <c r="F292" s="120"/>
      <c r="G292" s="120"/>
      <c r="H292" s="120"/>
      <c r="I292" s="120"/>
      <c r="J292" s="120"/>
      <c r="K292" s="121"/>
      <c r="L292" s="215" t="s">
        <v>164</v>
      </c>
      <c r="M292" s="120"/>
      <c r="N292" s="120"/>
      <c r="O292" s="120"/>
      <c r="P292" s="121"/>
      <c r="Q292" s="17"/>
      <c r="R292" s="17"/>
      <c r="S292" s="54"/>
      <c r="T292" s="171"/>
      <c r="U292" s="120"/>
      <c r="V292" s="120"/>
      <c r="W292" s="120"/>
      <c r="X292" s="120"/>
      <c r="Y292" s="121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2.75" outlineLevel="1" x14ac:dyDescent="0.2">
      <c r="A293" s="85" t="s">
        <v>135</v>
      </c>
      <c r="B293" s="83"/>
      <c r="C293" s="83"/>
      <c r="D293" s="54"/>
      <c r="E293" s="171"/>
      <c r="F293" s="120"/>
      <c r="G293" s="120"/>
      <c r="H293" s="120"/>
      <c r="I293" s="120"/>
      <c r="J293" s="120"/>
      <c r="K293" s="121"/>
      <c r="L293" s="215" t="s">
        <v>165</v>
      </c>
      <c r="M293" s="120"/>
      <c r="N293" s="120"/>
      <c r="O293" s="120"/>
      <c r="P293" s="121"/>
      <c r="Q293" s="17"/>
      <c r="R293" s="17"/>
      <c r="S293" s="54"/>
      <c r="T293" s="171"/>
      <c r="U293" s="120"/>
      <c r="V293" s="120"/>
      <c r="W293" s="120"/>
      <c r="X293" s="120"/>
      <c r="Y293" s="121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25.5" outlineLevel="1" x14ac:dyDescent="0.2">
      <c r="A294" s="76" t="s">
        <v>136</v>
      </c>
      <c r="B294" s="81"/>
      <c r="C294" s="81"/>
      <c r="D294" s="54"/>
      <c r="E294" s="171"/>
      <c r="F294" s="120"/>
      <c r="G294" s="120"/>
      <c r="H294" s="120"/>
      <c r="I294" s="120"/>
      <c r="J294" s="120"/>
      <c r="K294" s="121"/>
      <c r="L294" s="215" t="s">
        <v>166</v>
      </c>
      <c r="M294" s="120"/>
      <c r="N294" s="120"/>
      <c r="O294" s="120"/>
      <c r="P294" s="121"/>
      <c r="Q294" s="17"/>
      <c r="R294" s="17"/>
      <c r="S294" s="54"/>
      <c r="T294" s="171"/>
      <c r="U294" s="120"/>
      <c r="V294" s="120"/>
      <c r="W294" s="120"/>
      <c r="X294" s="120"/>
      <c r="Y294" s="121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2.75" outlineLevel="1" x14ac:dyDescent="0.2">
      <c r="A295" s="85" t="s">
        <v>137</v>
      </c>
      <c r="B295" s="83"/>
      <c r="C295" s="83"/>
      <c r="D295" s="54"/>
      <c r="E295" s="171"/>
      <c r="F295" s="120"/>
      <c r="G295" s="120"/>
      <c r="H295" s="120"/>
      <c r="I295" s="120"/>
      <c r="J295" s="120"/>
      <c r="K295" s="121"/>
      <c r="L295" s="215" t="s">
        <v>167</v>
      </c>
      <c r="M295" s="120"/>
      <c r="N295" s="120"/>
      <c r="O295" s="120"/>
      <c r="P295" s="121"/>
      <c r="Q295" s="17"/>
      <c r="R295" s="17"/>
      <c r="S295" s="54"/>
      <c r="T295" s="171"/>
      <c r="U295" s="120"/>
      <c r="V295" s="120"/>
      <c r="W295" s="120"/>
      <c r="X295" s="120"/>
      <c r="Y295" s="121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2.75" outlineLevel="1" x14ac:dyDescent="0.2">
      <c r="A296" s="85" t="s">
        <v>138</v>
      </c>
      <c r="B296" s="83"/>
      <c r="C296" s="83"/>
      <c r="D296" s="54"/>
      <c r="E296" s="171"/>
      <c r="F296" s="120"/>
      <c r="G296" s="120"/>
      <c r="H296" s="120"/>
      <c r="I296" s="120"/>
      <c r="J296" s="120"/>
      <c r="K296" s="121"/>
      <c r="L296" s="26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6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2.75" outlineLevel="1" x14ac:dyDescent="0.2">
      <c r="A297" s="85" t="s">
        <v>139</v>
      </c>
      <c r="B297" s="83"/>
      <c r="C297" s="83"/>
      <c r="D297" s="54"/>
      <c r="E297" s="171"/>
      <c r="F297" s="120"/>
      <c r="G297" s="120"/>
      <c r="H297" s="120"/>
      <c r="I297" s="120"/>
      <c r="J297" s="120"/>
      <c r="K297" s="121"/>
      <c r="L297" s="133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36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2.75" outlineLevel="1" x14ac:dyDescent="0.2">
      <c r="A298" s="85" t="s">
        <v>140</v>
      </c>
      <c r="B298" s="83"/>
      <c r="C298" s="83"/>
      <c r="D298" s="54"/>
      <c r="E298" s="171"/>
      <c r="F298" s="120"/>
      <c r="G298" s="120"/>
      <c r="H298" s="120"/>
      <c r="I298" s="120"/>
      <c r="J298" s="120"/>
      <c r="K298" s="121"/>
      <c r="L298" s="124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31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5.75" customHeight="1" outlineLevel="1" x14ac:dyDescent="0.2">
      <c r="A299" s="184" t="s">
        <v>80</v>
      </c>
      <c r="B299" s="185" t="s">
        <v>245</v>
      </c>
      <c r="C299" s="156"/>
      <c r="D299" s="157"/>
      <c r="E299" s="186" t="s">
        <v>0</v>
      </c>
      <c r="F299" s="118"/>
      <c r="G299" s="118"/>
      <c r="H299" s="118"/>
      <c r="I299" s="118"/>
      <c r="J299" s="118"/>
      <c r="K299" s="187"/>
      <c r="L299" s="188" t="s">
        <v>80</v>
      </c>
      <c r="M299" s="118"/>
      <c r="N299" s="118"/>
      <c r="O299" s="118"/>
      <c r="P299" s="187"/>
      <c r="Q299" s="185" t="s">
        <v>245</v>
      </c>
      <c r="R299" s="156"/>
      <c r="S299" s="157"/>
      <c r="T299" s="186" t="s">
        <v>0</v>
      </c>
      <c r="U299" s="118"/>
      <c r="V299" s="118"/>
      <c r="W299" s="118"/>
      <c r="X299" s="118"/>
      <c r="Y299" s="141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5.75" customHeight="1" outlineLevel="1" x14ac:dyDescent="0.2">
      <c r="A300" s="167"/>
      <c r="B300" s="14" t="s">
        <v>23</v>
      </c>
      <c r="C300" s="14" t="s">
        <v>24</v>
      </c>
      <c r="D300" s="14" t="s">
        <v>25</v>
      </c>
      <c r="E300" s="160"/>
      <c r="F300" s="156"/>
      <c r="G300" s="156"/>
      <c r="H300" s="156"/>
      <c r="I300" s="156"/>
      <c r="J300" s="156"/>
      <c r="K300" s="157"/>
      <c r="L300" s="160"/>
      <c r="M300" s="156"/>
      <c r="N300" s="156"/>
      <c r="O300" s="156"/>
      <c r="P300" s="157"/>
      <c r="Q300" s="14" t="s">
        <v>23</v>
      </c>
      <c r="R300" s="14" t="s">
        <v>24</v>
      </c>
      <c r="S300" s="14" t="s">
        <v>25</v>
      </c>
      <c r="T300" s="160"/>
      <c r="U300" s="156"/>
      <c r="V300" s="156"/>
      <c r="W300" s="156"/>
      <c r="X300" s="156"/>
      <c r="Y300" s="162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5.75" customHeight="1" outlineLevel="1" x14ac:dyDescent="0.2">
      <c r="A301" s="246" t="s">
        <v>168</v>
      </c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32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5.75" customHeight="1" outlineLevel="1" x14ac:dyDescent="0.2">
      <c r="A302" s="76" t="s">
        <v>169</v>
      </c>
      <c r="B302" s="81"/>
      <c r="C302" s="81"/>
      <c r="D302" s="54"/>
      <c r="E302" s="171"/>
      <c r="F302" s="120"/>
      <c r="G302" s="120"/>
      <c r="H302" s="120"/>
      <c r="I302" s="120"/>
      <c r="J302" s="120"/>
      <c r="K302" s="121"/>
      <c r="L302" s="245" t="s">
        <v>174</v>
      </c>
      <c r="M302" s="120"/>
      <c r="N302" s="120"/>
      <c r="O302" s="120"/>
      <c r="P302" s="121"/>
      <c r="Q302" s="81"/>
      <c r="R302" s="81"/>
      <c r="S302" s="54"/>
      <c r="T302" s="171"/>
      <c r="U302" s="120"/>
      <c r="V302" s="120"/>
      <c r="W302" s="120"/>
      <c r="X302" s="120"/>
      <c r="Y302" s="121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5.75" customHeight="1" outlineLevel="1" x14ac:dyDescent="0.2">
      <c r="A303" s="82" t="s">
        <v>405</v>
      </c>
      <c r="B303" s="17"/>
      <c r="C303" s="17"/>
      <c r="D303" s="54"/>
      <c r="E303" s="171"/>
      <c r="F303" s="120"/>
      <c r="G303" s="120"/>
      <c r="H303" s="120"/>
      <c r="I303" s="120"/>
      <c r="J303" s="120"/>
      <c r="K303" s="121"/>
      <c r="L303" s="215" t="s">
        <v>406</v>
      </c>
      <c r="M303" s="120"/>
      <c r="N303" s="120"/>
      <c r="O303" s="120"/>
      <c r="P303" s="121"/>
      <c r="Q303" s="17"/>
      <c r="R303" s="17"/>
      <c r="S303" s="54"/>
      <c r="T303" s="171"/>
      <c r="U303" s="120"/>
      <c r="V303" s="120"/>
      <c r="W303" s="120"/>
      <c r="X303" s="120"/>
      <c r="Y303" s="121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5.75" customHeight="1" outlineLevel="1" x14ac:dyDescent="0.2">
      <c r="A304" s="82" t="s">
        <v>407</v>
      </c>
      <c r="B304" s="17"/>
      <c r="C304" s="17"/>
      <c r="D304" s="54"/>
      <c r="E304" s="171"/>
      <c r="F304" s="120"/>
      <c r="G304" s="120"/>
      <c r="H304" s="120"/>
      <c r="I304" s="120"/>
      <c r="J304" s="120"/>
      <c r="K304" s="121"/>
      <c r="L304" s="215" t="s">
        <v>408</v>
      </c>
      <c r="M304" s="120"/>
      <c r="N304" s="120"/>
      <c r="O304" s="120"/>
      <c r="P304" s="121"/>
      <c r="Q304" s="17"/>
      <c r="R304" s="17"/>
      <c r="S304" s="54"/>
      <c r="T304" s="171"/>
      <c r="U304" s="120"/>
      <c r="V304" s="120"/>
      <c r="W304" s="120"/>
      <c r="X304" s="120"/>
      <c r="Y304" s="121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5.75" customHeight="1" outlineLevel="1" x14ac:dyDescent="0.2">
      <c r="A305" s="82" t="s">
        <v>409</v>
      </c>
      <c r="B305" s="17"/>
      <c r="C305" s="17"/>
      <c r="D305" s="54"/>
      <c r="E305" s="171"/>
      <c r="F305" s="120"/>
      <c r="G305" s="120"/>
      <c r="H305" s="120"/>
      <c r="I305" s="120"/>
      <c r="J305" s="120"/>
      <c r="K305" s="121"/>
      <c r="L305" s="245" t="s">
        <v>175</v>
      </c>
      <c r="M305" s="120"/>
      <c r="N305" s="120"/>
      <c r="O305" s="120"/>
      <c r="P305" s="121"/>
      <c r="Q305" s="81"/>
      <c r="R305" s="81"/>
      <c r="S305" s="54"/>
      <c r="T305" s="171"/>
      <c r="U305" s="120"/>
      <c r="V305" s="120"/>
      <c r="W305" s="120"/>
      <c r="X305" s="120"/>
      <c r="Y305" s="121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5.75" customHeight="1" outlineLevel="1" x14ac:dyDescent="0.2">
      <c r="A306" s="82" t="s">
        <v>410</v>
      </c>
      <c r="B306" s="17"/>
      <c r="C306" s="17"/>
      <c r="D306" s="54"/>
      <c r="E306" s="171"/>
      <c r="F306" s="120"/>
      <c r="G306" s="120"/>
      <c r="H306" s="120"/>
      <c r="I306" s="120"/>
      <c r="J306" s="120"/>
      <c r="K306" s="121"/>
      <c r="L306" s="215" t="s">
        <v>411</v>
      </c>
      <c r="M306" s="120"/>
      <c r="N306" s="120"/>
      <c r="O306" s="120"/>
      <c r="P306" s="121"/>
      <c r="Q306" s="17"/>
      <c r="R306" s="17"/>
      <c r="S306" s="54"/>
      <c r="T306" s="171"/>
      <c r="U306" s="120"/>
      <c r="V306" s="120"/>
      <c r="W306" s="120"/>
      <c r="X306" s="120"/>
      <c r="Y306" s="121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5.75" customHeight="1" outlineLevel="1" x14ac:dyDescent="0.2">
      <c r="A307" s="82" t="s">
        <v>412</v>
      </c>
      <c r="B307" s="17"/>
      <c r="C307" s="17"/>
      <c r="D307" s="54"/>
      <c r="E307" s="171"/>
      <c r="F307" s="120"/>
      <c r="G307" s="120"/>
      <c r="H307" s="120"/>
      <c r="I307" s="120"/>
      <c r="J307" s="120"/>
      <c r="K307" s="121"/>
      <c r="L307" s="215" t="s">
        <v>413</v>
      </c>
      <c r="M307" s="120"/>
      <c r="N307" s="120"/>
      <c r="O307" s="120"/>
      <c r="P307" s="121"/>
      <c r="Q307" s="17"/>
      <c r="R307" s="17"/>
      <c r="S307" s="54"/>
      <c r="T307" s="171"/>
      <c r="U307" s="120"/>
      <c r="V307" s="120"/>
      <c r="W307" s="120"/>
      <c r="X307" s="120"/>
      <c r="Y307" s="121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5.75" customHeight="1" outlineLevel="1" x14ac:dyDescent="0.2">
      <c r="A308" s="76" t="s">
        <v>170</v>
      </c>
      <c r="B308" s="81"/>
      <c r="C308" s="81"/>
      <c r="D308" s="54"/>
      <c r="E308" s="171"/>
      <c r="F308" s="120"/>
      <c r="G308" s="120"/>
      <c r="H308" s="120"/>
      <c r="I308" s="120"/>
      <c r="J308" s="120"/>
      <c r="K308" s="121"/>
      <c r="L308" s="215" t="s">
        <v>414</v>
      </c>
      <c r="M308" s="120"/>
      <c r="N308" s="120"/>
      <c r="O308" s="120"/>
      <c r="P308" s="121"/>
      <c r="Q308" s="17"/>
      <c r="R308" s="17"/>
      <c r="S308" s="54"/>
      <c r="T308" s="171"/>
      <c r="U308" s="120"/>
      <c r="V308" s="120"/>
      <c r="W308" s="120"/>
      <c r="X308" s="120"/>
      <c r="Y308" s="121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5.75" customHeight="1" outlineLevel="1" x14ac:dyDescent="0.2">
      <c r="A309" s="82" t="s">
        <v>415</v>
      </c>
      <c r="B309" s="17"/>
      <c r="C309" s="17"/>
      <c r="D309" s="54"/>
      <c r="E309" s="171"/>
      <c r="F309" s="120"/>
      <c r="G309" s="120"/>
      <c r="H309" s="120"/>
      <c r="I309" s="120"/>
      <c r="J309" s="120"/>
      <c r="K309" s="121"/>
      <c r="L309" s="215" t="s">
        <v>416</v>
      </c>
      <c r="M309" s="120"/>
      <c r="N309" s="120"/>
      <c r="O309" s="120"/>
      <c r="P309" s="121"/>
      <c r="Q309" s="17"/>
      <c r="R309" s="17"/>
      <c r="S309" s="54"/>
      <c r="T309" s="171"/>
      <c r="U309" s="120"/>
      <c r="V309" s="120"/>
      <c r="W309" s="120"/>
      <c r="X309" s="120"/>
      <c r="Y309" s="121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5.75" customHeight="1" outlineLevel="1" x14ac:dyDescent="0.2">
      <c r="A310" s="82" t="s">
        <v>417</v>
      </c>
      <c r="B310" s="17"/>
      <c r="C310" s="17"/>
      <c r="D310" s="54"/>
      <c r="E310" s="171"/>
      <c r="F310" s="120"/>
      <c r="G310" s="120"/>
      <c r="H310" s="120"/>
      <c r="I310" s="120"/>
      <c r="J310" s="120"/>
      <c r="K310" s="121"/>
      <c r="L310" s="215" t="s">
        <v>418</v>
      </c>
      <c r="M310" s="120"/>
      <c r="N310" s="120"/>
      <c r="O310" s="120"/>
      <c r="P310" s="121"/>
      <c r="Q310" s="17"/>
      <c r="R310" s="17"/>
      <c r="S310" s="54"/>
      <c r="T310" s="171"/>
      <c r="U310" s="120"/>
      <c r="V310" s="120"/>
      <c r="W310" s="120"/>
      <c r="X310" s="120"/>
      <c r="Y310" s="121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5.75" customHeight="1" outlineLevel="1" x14ac:dyDescent="0.2">
      <c r="A311" s="76" t="s">
        <v>171</v>
      </c>
      <c r="B311" s="81"/>
      <c r="C311" s="81"/>
      <c r="D311" s="54"/>
      <c r="E311" s="171"/>
      <c r="F311" s="120"/>
      <c r="G311" s="120"/>
      <c r="H311" s="120"/>
      <c r="I311" s="120"/>
      <c r="J311" s="120"/>
      <c r="K311" s="121"/>
      <c r="L311" s="245" t="s">
        <v>176</v>
      </c>
      <c r="M311" s="120"/>
      <c r="N311" s="120"/>
      <c r="O311" s="120"/>
      <c r="P311" s="121"/>
      <c r="Q311" s="81"/>
      <c r="R311" s="81"/>
      <c r="S311" s="54"/>
      <c r="T311" s="171"/>
      <c r="U311" s="120"/>
      <c r="V311" s="120"/>
      <c r="W311" s="120"/>
      <c r="X311" s="120"/>
      <c r="Y311" s="121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5.75" customHeight="1" outlineLevel="1" x14ac:dyDescent="0.2">
      <c r="A312" s="82" t="s">
        <v>419</v>
      </c>
      <c r="B312" s="17"/>
      <c r="C312" s="17"/>
      <c r="D312" s="54"/>
      <c r="E312" s="171"/>
      <c r="F312" s="120"/>
      <c r="G312" s="120"/>
      <c r="H312" s="120"/>
      <c r="I312" s="120"/>
      <c r="J312" s="120"/>
      <c r="K312" s="121"/>
      <c r="L312" s="215" t="s">
        <v>177</v>
      </c>
      <c r="M312" s="120"/>
      <c r="N312" s="120"/>
      <c r="O312" s="120"/>
      <c r="P312" s="121"/>
      <c r="Q312" s="17"/>
      <c r="R312" s="17"/>
      <c r="S312" s="54"/>
      <c r="T312" s="171"/>
      <c r="U312" s="120"/>
      <c r="V312" s="120"/>
      <c r="W312" s="120"/>
      <c r="X312" s="120"/>
      <c r="Y312" s="121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5.75" customHeight="1" outlineLevel="1" x14ac:dyDescent="0.2">
      <c r="A313" s="82" t="s">
        <v>420</v>
      </c>
      <c r="B313" s="17"/>
      <c r="C313" s="17"/>
      <c r="D313" s="54"/>
      <c r="E313" s="171"/>
      <c r="F313" s="120"/>
      <c r="G313" s="120"/>
      <c r="H313" s="120"/>
      <c r="I313" s="120"/>
      <c r="J313" s="120"/>
      <c r="K313" s="121"/>
      <c r="L313" s="215" t="s">
        <v>178</v>
      </c>
      <c r="M313" s="120"/>
      <c r="N313" s="120"/>
      <c r="O313" s="120"/>
      <c r="P313" s="121"/>
      <c r="Q313" s="17"/>
      <c r="R313" s="17"/>
      <c r="S313" s="54"/>
      <c r="T313" s="171"/>
      <c r="U313" s="120"/>
      <c r="V313" s="120"/>
      <c r="W313" s="120"/>
      <c r="X313" s="120"/>
      <c r="Y313" s="121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5.75" customHeight="1" outlineLevel="1" x14ac:dyDescent="0.2">
      <c r="A314" s="82" t="s">
        <v>421</v>
      </c>
      <c r="B314" s="17"/>
      <c r="C314" s="17"/>
      <c r="D314" s="54"/>
      <c r="E314" s="171"/>
      <c r="F314" s="120"/>
      <c r="G314" s="120"/>
      <c r="H314" s="120"/>
      <c r="I314" s="120"/>
      <c r="J314" s="120"/>
      <c r="K314" s="121"/>
      <c r="L314" s="245" t="s">
        <v>179</v>
      </c>
      <c r="M314" s="120"/>
      <c r="N314" s="120"/>
      <c r="O314" s="120"/>
      <c r="P314" s="121"/>
      <c r="Q314" s="81"/>
      <c r="R314" s="81"/>
      <c r="S314" s="54"/>
      <c r="T314" s="171"/>
      <c r="U314" s="120"/>
      <c r="V314" s="120"/>
      <c r="W314" s="120"/>
      <c r="X314" s="120"/>
      <c r="Y314" s="121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5.75" customHeight="1" outlineLevel="1" x14ac:dyDescent="0.2">
      <c r="A315" s="82" t="s">
        <v>422</v>
      </c>
      <c r="B315" s="17"/>
      <c r="C315" s="17"/>
      <c r="D315" s="54"/>
      <c r="E315" s="171"/>
      <c r="F315" s="120"/>
      <c r="G315" s="120"/>
      <c r="H315" s="120"/>
      <c r="I315" s="120"/>
      <c r="J315" s="120"/>
      <c r="K315" s="121"/>
      <c r="L315" s="215" t="s">
        <v>180</v>
      </c>
      <c r="M315" s="120"/>
      <c r="N315" s="120"/>
      <c r="O315" s="120"/>
      <c r="P315" s="121"/>
      <c r="Q315" s="17"/>
      <c r="R315" s="17"/>
      <c r="S315" s="54"/>
      <c r="T315" s="171"/>
      <c r="U315" s="120"/>
      <c r="V315" s="120"/>
      <c r="W315" s="120"/>
      <c r="X315" s="120"/>
      <c r="Y315" s="121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5.75" customHeight="1" outlineLevel="1" x14ac:dyDescent="0.2">
      <c r="A316" s="82" t="s">
        <v>423</v>
      </c>
      <c r="B316" s="17"/>
      <c r="C316" s="17"/>
      <c r="D316" s="54"/>
      <c r="E316" s="171"/>
      <c r="F316" s="120"/>
      <c r="G316" s="120"/>
      <c r="H316" s="120"/>
      <c r="I316" s="120"/>
      <c r="J316" s="120"/>
      <c r="K316" s="121"/>
      <c r="L316" s="215" t="s">
        <v>181</v>
      </c>
      <c r="M316" s="120"/>
      <c r="N316" s="120"/>
      <c r="O316" s="120"/>
      <c r="P316" s="121"/>
      <c r="Q316" s="17"/>
      <c r="R316" s="17"/>
      <c r="S316" s="54"/>
      <c r="T316" s="171"/>
      <c r="U316" s="120"/>
      <c r="V316" s="120"/>
      <c r="W316" s="120"/>
      <c r="X316" s="120"/>
      <c r="Y316" s="121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5.75" customHeight="1" outlineLevel="1" x14ac:dyDescent="0.2">
      <c r="A317" s="76" t="s">
        <v>172</v>
      </c>
      <c r="B317" s="81"/>
      <c r="C317" s="81"/>
      <c r="D317" s="54"/>
      <c r="E317" s="171"/>
      <c r="F317" s="120"/>
      <c r="G317" s="120"/>
      <c r="H317" s="120"/>
      <c r="I317" s="120"/>
      <c r="J317" s="120"/>
      <c r="K317" s="121"/>
      <c r="L317" s="245" t="s">
        <v>182</v>
      </c>
      <c r="M317" s="120"/>
      <c r="N317" s="120"/>
      <c r="O317" s="120"/>
      <c r="P317" s="121"/>
      <c r="Q317" s="81"/>
      <c r="R317" s="81"/>
      <c r="S317" s="54"/>
      <c r="T317" s="171"/>
      <c r="U317" s="120"/>
      <c r="V317" s="120"/>
      <c r="W317" s="120"/>
      <c r="X317" s="120"/>
      <c r="Y317" s="121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5.75" customHeight="1" outlineLevel="1" x14ac:dyDescent="0.2">
      <c r="A318" s="82" t="s">
        <v>424</v>
      </c>
      <c r="B318" s="17"/>
      <c r="C318" s="17"/>
      <c r="D318" s="54"/>
      <c r="E318" s="171"/>
      <c r="F318" s="120"/>
      <c r="G318" s="120"/>
      <c r="H318" s="120"/>
      <c r="I318" s="120"/>
      <c r="J318" s="120"/>
      <c r="K318" s="121"/>
      <c r="L318" s="215" t="s">
        <v>183</v>
      </c>
      <c r="M318" s="120"/>
      <c r="N318" s="120"/>
      <c r="O318" s="120"/>
      <c r="P318" s="121"/>
      <c r="Q318" s="17"/>
      <c r="R318" s="17"/>
      <c r="S318" s="54"/>
      <c r="T318" s="171"/>
      <c r="U318" s="120"/>
      <c r="V318" s="120"/>
      <c r="W318" s="120"/>
      <c r="X318" s="120"/>
      <c r="Y318" s="121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5.75" customHeight="1" outlineLevel="1" x14ac:dyDescent="0.2">
      <c r="A319" s="82" t="s">
        <v>425</v>
      </c>
      <c r="B319" s="17"/>
      <c r="C319" s="17"/>
      <c r="D319" s="54"/>
      <c r="E319" s="171"/>
      <c r="F319" s="120"/>
      <c r="G319" s="120"/>
      <c r="H319" s="120"/>
      <c r="I319" s="120"/>
      <c r="J319" s="120"/>
      <c r="K319" s="121"/>
      <c r="L319" s="215" t="s">
        <v>184</v>
      </c>
      <c r="M319" s="120"/>
      <c r="N319" s="120"/>
      <c r="O319" s="120"/>
      <c r="P319" s="121"/>
      <c r="Q319" s="17"/>
      <c r="R319" s="17"/>
      <c r="S319" s="54"/>
      <c r="T319" s="171"/>
      <c r="U319" s="120"/>
      <c r="V319" s="120"/>
      <c r="W319" s="120"/>
      <c r="X319" s="120"/>
      <c r="Y319" s="121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5.75" customHeight="1" outlineLevel="1" x14ac:dyDescent="0.2">
      <c r="A320" s="76" t="s">
        <v>173</v>
      </c>
      <c r="B320" s="81"/>
      <c r="C320" s="81"/>
      <c r="D320" s="54"/>
      <c r="E320" s="171"/>
      <c r="F320" s="120"/>
      <c r="G320" s="120"/>
      <c r="H320" s="120"/>
      <c r="I320" s="120"/>
      <c r="J320" s="120"/>
      <c r="K320" s="121"/>
      <c r="L320" s="245" t="s">
        <v>185</v>
      </c>
      <c r="M320" s="120"/>
      <c r="N320" s="120"/>
      <c r="O320" s="120"/>
      <c r="P320" s="121"/>
      <c r="Q320" s="81"/>
      <c r="R320" s="81"/>
      <c r="S320" s="54"/>
      <c r="T320" s="171"/>
      <c r="U320" s="120"/>
      <c r="V320" s="120"/>
      <c r="W320" s="120"/>
      <c r="X320" s="120"/>
      <c r="Y320" s="121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5.75" customHeight="1" outlineLevel="1" x14ac:dyDescent="0.2">
      <c r="A321" s="82" t="s">
        <v>426</v>
      </c>
      <c r="B321" s="17"/>
      <c r="C321" s="17"/>
      <c r="D321" s="54"/>
      <c r="E321" s="171"/>
      <c r="F321" s="120"/>
      <c r="G321" s="120"/>
      <c r="H321" s="120"/>
      <c r="I321" s="120"/>
      <c r="J321" s="120"/>
      <c r="K321" s="121"/>
      <c r="L321" s="215" t="s">
        <v>186</v>
      </c>
      <c r="M321" s="120"/>
      <c r="N321" s="120"/>
      <c r="O321" s="120"/>
      <c r="P321" s="121"/>
      <c r="Q321" s="17"/>
      <c r="R321" s="17"/>
      <c r="S321" s="54"/>
      <c r="T321" s="171"/>
      <c r="U321" s="120"/>
      <c r="V321" s="120"/>
      <c r="W321" s="120"/>
      <c r="X321" s="120"/>
      <c r="Y321" s="121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5.75" customHeight="1" outlineLevel="1" x14ac:dyDescent="0.2">
      <c r="A322" s="82" t="s">
        <v>427</v>
      </c>
      <c r="B322" s="17"/>
      <c r="C322" s="17"/>
      <c r="D322" s="54"/>
      <c r="E322" s="171"/>
      <c r="F322" s="120"/>
      <c r="G322" s="120"/>
      <c r="H322" s="120"/>
      <c r="I322" s="120"/>
      <c r="J322" s="120"/>
      <c r="K322" s="121"/>
      <c r="L322" s="215" t="s">
        <v>187</v>
      </c>
      <c r="M322" s="120"/>
      <c r="N322" s="120"/>
      <c r="O322" s="120"/>
      <c r="P322" s="121"/>
      <c r="Q322" s="17"/>
      <c r="R322" s="17"/>
      <c r="S322" s="54"/>
      <c r="T322" s="171"/>
      <c r="U322" s="120"/>
      <c r="V322" s="120"/>
      <c r="W322" s="120"/>
      <c r="X322" s="120"/>
      <c r="Y322" s="121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5.75" customHeight="1" outlineLevel="1" x14ac:dyDescent="0.2">
      <c r="A323" s="82" t="s">
        <v>428</v>
      </c>
      <c r="B323" s="17"/>
      <c r="C323" s="17"/>
      <c r="D323" s="54"/>
      <c r="E323" s="171"/>
      <c r="F323" s="120"/>
      <c r="G323" s="120"/>
      <c r="H323" s="120"/>
      <c r="I323" s="120"/>
      <c r="J323" s="120"/>
      <c r="K323" s="121"/>
      <c r="L323" s="245" t="s">
        <v>429</v>
      </c>
      <c r="M323" s="120"/>
      <c r="N323" s="120"/>
      <c r="O323" s="120"/>
      <c r="P323" s="121"/>
      <c r="Q323" s="81"/>
      <c r="R323" s="81"/>
      <c r="S323" s="54"/>
      <c r="T323" s="171"/>
      <c r="U323" s="120"/>
      <c r="V323" s="120"/>
      <c r="W323" s="120"/>
      <c r="X323" s="120"/>
      <c r="Y323" s="121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5.75" customHeight="1" outlineLevel="1" x14ac:dyDescent="0.2">
      <c r="A324" s="82" t="s">
        <v>430</v>
      </c>
      <c r="B324" s="17"/>
      <c r="C324" s="17"/>
      <c r="D324" s="54"/>
      <c r="E324" s="171"/>
      <c r="F324" s="120"/>
      <c r="G324" s="120"/>
      <c r="H324" s="120"/>
      <c r="I324" s="120"/>
      <c r="J324" s="120"/>
      <c r="K324" s="121"/>
      <c r="L324" s="215" t="s">
        <v>431</v>
      </c>
      <c r="M324" s="120"/>
      <c r="N324" s="120"/>
      <c r="O324" s="120"/>
      <c r="P324" s="121"/>
      <c r="Q324" s="17"/>
      <c r="R324" s="17"/>
      <c r="S324" s="54"/>
      <c r="T324" s="171"/>
      <c r="U324" s="120"/>
      <c r="V324" s="120"/>
      <c r="W324" s="120"/>
      <c r="X324" s="120"/>
      <c r="Y324" s="121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5.75" customHeight="1" outlineLevel="1" x14ac:dyDescent="0.2">
      <c r="A325" s="82" t="s">
        <v>432</v>
      </c>
      <c r="B325" s="17"/>
      <c r="C325" s="17"/>
      <c r="D325" s="54"/>
      <c r="E325" s="171"/>
      <c r="F325" s="120"/>
      <c r="G325" s="120"/>
      <c r="H325" s="120"/>
      <c r="I325" s="120"/>
      <c r="J325" s="120"/>
      <c r="K325" s="121"/>
      <c r="L325" s="215" t="s">
        <v>433</v>
      </c>
      <c r="M325" s="120"/>
      <c r="N325" s="120"/>
      <c r="O325" s="120"/>
      <c r="P325" s="121"/>
      <c r="Q325" s="17"/>
      <c r="R325" s="17"/>
      <c r="S325" s="54"/>
      <c r="T325" s="171"/>
      <c r="U325" s="120"/>
      <c r="V325" s="120"/>
      <c r="W325" s="120"/>
      <c r="X325" s="120"/>
      <c r="Y325" s="121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5.75" customHeight="1" outlineLevel="1" x14ac:dyDescent="0.2">
      <c r="A326" s="165" t="s">
        <v>80</v>
      </c>
      <c r="B326" s="158" t="s">
        <v>245</v>
      </c>
      <c r="C326" s="129"/>
      <c r="D326" s="130"/>
      <c r="E326" s="159" t="s">
        <v>0</v>
      </c>
      <c r="F326" s="153"/>
      <c r="G326" s="153"/>
      <c r="H326" s="153"/>
      <c r="I326" s="153"/>
      <c r="J326" s="153"/>
      <c r="K326" s="154"/>
      <c r="L326" s="188" t="s">
        <v>80</v>
      </c>
      <c r="M326" s="118"/>
      <c r="N326" s="118"/>
      <c r="O326" s="118"/>
      <c r="P326" s="187"/>
      <c r="Q326" s="158" t="s">
        <v>245</v>
      </c>
      <c r="R326" s="129"/>
      <c r="S326" s="130"/>
      <c r="T326" s="159" t="s">
        <v>0</v>
      </c>
      <c r="U326" s="153"/>
      <c r="V326" s="153"/>
      <c r="W326" s="153"/>
      <c r="X326" s="153"/>
      <c r="Y326" s="161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5.75" customHeight="1" outlineLevel="1" x14ac:dyDescent="0.2">
      <c r="A327" s="167"/>
      <c r="B327" s="14" t="s">
        <v>23</v>
      </c>
      <c r="C327" s="14" t="s">
        <v>24</v>
      </c>
      <c r="D327" s="14" t="s">
        <v>25</v>
      </c>
      <c r="E327" s="160"/>
      <c r="F327" s="156"/>
      <c r="G327" s="156"/>
      <c r="H327" s="156"/>
      <c r="I327" s="156"/>
      <c r="J327" s="156"/>
      <c r="K327" s="157"/>
      <c r="L327" s="160"/>
      <c r="M327" s="156"/>
      <c r="N327" s="156"/>
      <c r="O327" s="156"/>
      <c r="P327" s="157"/>
      <c r="Q327" s="14" t="s">
        <v>23</v>
      </c>
      <c r="R327" s="14" t="s">
        <v>24</v>
      </c>
      <c r="S327" s="14" t="s">
        <v>25</v>
      </c>
      <c r="T327" s="160"/>
      <c r="U327" s="156"/>
      <c r="V327" s="156"/>
      <c r="W327" s="156"/>
      <c r="X327" s="156"/>
      <c r="Y327" s="162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5.75" customHeight="1" outlineLevel="1" x14ac:dyDescent="0.2">
      <c r="A328" s="218" t="s">
        <v>188</v>
      </c>
      <c r="B328" s="120"/>
      <c r="C328" s="120"/>
      <c r="D328" s="120"/>
      <c r="E328" s="120"/>
      <c r="F328" s="120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1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5.75" customHeight="1" outlineLevel="1" x14ac:dyDescent="0.2">
      <c r="A329" s="75" t="s">
        <v>434</v>
      </c>
      <c r="B329" s="86"/>
      <c r="C329" s="81"/>
      <c r="D329" s="18"/>
      <c r="E329" s="233"/>
      <c r="F329" s="120"/>
      <c r="G329" s="120"/>
      <c r="H329" s="120"/>
      <c r="I329" s="120"/>
      <c r="J329" s="120"/>
      <c r="K329" s="121"/>
      <c r="L329" s="245" t="s">
        <v>435</v>
      </c>
      <c r="M329" s="120"/>
      <c r="N329" s="120"/>
      <c r="O329" s="120"/>
      <c r="P329" s="120"/>
      <c r="Q329" s="87"/>
      <c r="R329" s="9"/>
      <c r="S329" s="54"/>
      <c r="T329" s="171"/>
      <c r="U329" s="120"/>
      <c r="V329" s="120"/>
      <c r="W329" s="120"/>
      <c r="X329" s="120"/>
      <c r="Y329" s="140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5.75" customHeight="1" outlineLevel="1" x14ac:dyDescent="0.2">
      <c r="A330" s="27" t="s">
        <v>189</v>
      </c>
      <c r="B330" s="88"/>
      <c r="C330" s="89"/>
      <c r="D330" s="90"/>
      <c r="E330" s="233"/>
      <c r="F330" s="120"/>
      <c r="G330" s="120"/>
      <c r="H330" s="120"/>
      <c r="I330" s="120"/>
      <c r="J330" s="120"/>
      <c r="K330" s="121"/>
      <c r="L330" s="215" t="s">
        <v>201</v>
      </c>
      <c r="M330" s="120"/>
      <c r="N330" s="120"/>
      <c r="O330" s="120"/>
      <c r="P330" s="121"/>
      <c r="Q330" s="91"/>
      <c r="R330" s="17"/>
      <c r="S330" s="54"/>
      <c r="T330" s="171"/>
      <c r="U330" s="120"/>
      <c r="V330" s="120"/>
      <c r="W330" s="120"/>
      <c r="X330" s="120"/>
      <c r="Y330" s="140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5.75" customHeight="1" outlineLevel="1" x14ac:dyDescent="0.2">
      <c r="A331" s="27" t="s">
        <v>190</v>
      </c>
      <c r="B331" s="88"/>
      <c r="C331" s="89"/>
      <c r="D331" s="90"/>
      <c r="E331" s="233"/>
      <c r="F331" s="120"/>
      <c r="G331" s="120"/>
      <c r="H331" s="120"/>
      <c r="I331" s="120"/>
      <c r="J331" s="120"/>
      <c r="K331" s="121"/>
      <c r="L331" s="215" t="s">
        <v>202</v>
      </c>
      <c r="M331" s="120"/>
      <c r="N331" s="120"/>
      <c r="O331" s="120"/>
      <c r="P331" s="121"/>
      <c r="Q331" s="91"/>
      <c r="R331" s="17"/>
      <c r="S331" s="54"/>
      <c r="T331" s="171"/>
      <c r="U331" s="120"/>
      <c r="V331" s="120"/>
      <c r="W331" s="120"/>
      <c r="X331" s="120"/>
      <c r="Y331" s="140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5.75" customHeight="1" outlineLevel="1" x14ac:dyDescent="0.2">
      <c r="A332" s="27" t="s">
        <v>191</v>
      </c>
      <c r="B332" s="88"/>
      <c r="C332" s="89"/>
      <c r="D332" s="90"/>
      <c r="E332" s="233"/>
      <c r="F332" s="120"/>
      <c r="G332" s="120"/>
      <c r="H332" s="120"/>
      <c r="I332" s="120"/>
      <c r="J332" s="120"/>
      <c r="K332" s="121"/>
      <c r="L332" s="215" t="s">
        <v>203</v>
      </c>
      <c r="M332" s="120"/>
      <c r="N332" s="120"/>
      <c r="O332" s="120"/>
      <c r="P332" s="121"/>
      <c r="Q332" s="91"/>
      <c r="R332" s="17"/>
      <c r="S332" s="54"/>
      <c r="T332" s="171"/>
      <c r="U332" s="120"/>
      <c r="V332" s="120"/>
      <c r="W332" s="120"/>
      <c r="X332" s="120"/>
      <c r="Y332" s="140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5.75" customHeight="1" outlineLevel="1" x14ac:dyDescent="0.2">
      <c r="A333" s="75" t="s">
        <v>436</v>
      </c>
      <c r="B333" s="88"/>
      <c r="C333" s="81"/>
      <c r="D333" s="18"/>
      <c r="E333" s="233"/>
      <c r="F333" s="120"/>
      <c r="G333" s="120"/>
      <c r="H333" s="120"/>
      <c r="I333" s="120"/>
      <c r="J333" s="120"/>
      <c r="K333" s="121"/>
      <c r="L333" s="245" t="s">
        <v>437</v>
      </c>
      <c r="M333" s="120"/>
      <c r="N333" s="120"/>
      <c r="O333" s="120"/>
      <c r="P333" s="120"/>
      <c r="Q333" s="91"/>
      <c r="R333" s="17"/>
      <c r="S333" s="54"/>
      <c r="T333" s="171"/>
      <c r="U333" s="120"/>
      <c r="V333" s="120"/>
      <c r="W333" s="120"/>
      <c r="X333" s="120"/>
      <c r="Y333" s="140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5.75" customHeight="1" outlineLevel="1" x14ac:dyDescent="0.2">
      <c r="A334" s="27" t="s">
        <v>192</v>
      </c>
      <c r="B334" s="88"/>
      <c r="C334" s="89"/>
      <c r="D334" s="90"/>
      <c r="E334" s="233"/>
      <c r="F334" s="120"/>
      <c r="G334" s="120"/>
      <c r="H334" s="120"/>
      <c r="I334" s="120"/>
      <c r="J334" s="120"/>
      <c r="K334" s="121"/>
      <c r="L334" s="215" t="s">
        <v>204</v>
      </c>
      <c r="M334" s="120"/>
      <c r="N334" s="120"/>
      <c r="O334" s="120"/>
      <c r="P334" s="121"/>
      <c r="Q334" s="91"/>
      <c r="R334" s="17"/>
      <c r="S334" s="54"/>
      <c r="T334" s="171"/>
      <c r="U334" s="120"/>
      <c r="V334" s="120"/>
      <c r="W334" s="120"/>
      <c r="X334" s="120"/>
      <c r="Y334" s="140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5.75" customHeight="1" outlineLevel="1" x14ac:dyDescent="0.2">
      <c r="A335" s="27" t="s">
        <v>193</v>
      </c>
      <c r="B335" s="88"/>
      <c r="C335" s="89"/>
      <c r="D335" s="90"/>
      <c r="E335" s="233"/>
      <c r="F335" s="120"/>
      <c r="G335" s="120"/>
      <c r="H335" s="120"/>
      <c r="I335" s="120"/>
      <c r="J335" s="120"/>
      <c r="K335" s="121"/>
      <c r="L335" s="215" t="s">
        <v>205</v>
      </c>
      <c r="M335" s="120"/>
      <c r="N335" s="120"/>
      <c r="O335" s="120"/>
      <c r="P335" s="121"/>
      <c r="Q335" s="91"/>
      <c r="R335" s="17"/>
      <c r="S335" s="54"/>
      <c r="T335" s="171"/>
      <c r="U335" s="120"/>
      <c r="V335" s="120"/>
      <c r="W335" s="120"/>
      <c r="X335" s="120"/>
      <c r="Y335" s="140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5.75" customHeight="1" outlineLevel="1" x14ac:dyDescent="0.2">
      <c r="A336" s="27" t="s">
        <v>194</v>
      </c>
      <c r="B336" s="88"/>
      <c r="C336" s="89"/>
      <c r="D336" s="90"/>
      <c r="E336" s="233"/>
      <c r="F336" s="120"/>
      <c r="G336" s="120"/>
      <c r="H336" s="120"/>
      <c r="I336" s="120"/>
      <c r="J336" s="120"/>
      <c r="K336" s="121"/>
      <c r="L336" s="215" t="s">
        <v>206</v>
      </c>
      <c r="M336" s="120"/>
      <c r="N336" s="120"/>
      <c r="O336" s="120"/>
      <c r="P336" s="121"/>
      <c r="Q336" s="91"/>
      <c r="R336" s="17"/>
      <c r="S336" s="54"/>
      <c r="T336" s="171"/>
      <c r="U336" s="120"/>
      <c r="V336" s="120"/>
      <c r="W336" s="120"/>
      <c r="X336" s="120"/>
      <c r="Y336" s="140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5.75" customHeight="1" outlineLevel="1" x14ac:dyDescent="0.2">
      <c r="A337" s="75" t="s">
        <v>438</v>
      </c>
      <c r="B337" s="92"/>
      <c r="C337" s="81"/>
      <c r="D337" s="18"/>
      <c r="E337" s="233"/>
      <c r="F337" s="120"/>
      <c r="G337" s="120"/>
      <c r="H337" s="120"/>
      <c r="I337" s="120"/>
      <c r="J337" s="120"/>
      <c r="K337" s="121"/>
      <c r="L337" s="245" t="s">
        <v>439</v>
      </c>
      <c r="M337" s="120"/>
      <c r="N337" s="120"/>
      <c r="O337" s="120"/>
      <c r="P337" s="120"/>
      <c r="Q337" s="91"/>
      <c r="R337" s="17"/>
      <c r="S337" s="54"/>
      <c r="T337" s="171"/>
      <c r="U337" s="120"/>
      <c r="V337" s="120"/>
      <c r="W337" s="120"/>
      <c r="X337" s="120"/>
      <c r="Y337" s="140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5.75" customHeight="1" outlineLevel="1" x14ac:dyDescent="0.2">
      <c r="A338" s="27" t="s">
        <v>195</v>
      </c>
      <c r="B338" s="92"/>
      <c r="C338" s="93"/>
      <c r="D338" s="94"/>
      <c r="E338" s="233"/>
      <c r="F338" s="120"/>
      <c r="G338" s="120"/>
      <c r="H338" s="120"/>
      <c r="I338" s="120"/>
      <c r="J338" s="120"/>
      <c r="K338" s="121"/>
      <c r="L338" s="215" t="s">
        <v>207</v>
      </c>
      <c r="M338" s="120"/>
      <c r="N338" s="120"/>
      <c r="O338" s="120"/>
      <c r="P338" s="121"/>
      <c r="Q338" s="91"/>
      <c r="R338" s="17"/>
      <c r="S338" s="54"/>
      <c r="T338" s="171"/>
      <c r="U338" s="120"/>
      <c r="V338" s="120"/>
      <c r="W338" s="120"/>
      <c r="X338" s="120"/>
      <c r="Y338" s="140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5.75" customHeight="1" outlineLevel="1" x14ac:dyDescent="0.2">
      <c r="A339" s="27" t="s">
        <v>196</v>
      </c>
      <c r="B339" s="92"/>
      <c r="C339" s="93"/>
      <c r="D339" s="94"/>
      <c r="E339" s="233"/>
      <c r="F339" s="120"/>
      <c r="G339" s="120"/>
      <c r="H339" s="120"/>
      <c r="I339" s="120"/>
      <c r="J339" s="120"/>
      <c r="K339" s="121"/>
      <c r="L339" s="215" t="s">
        <v>208</v>
      </c>
      <c r="M339" s="120"/>
      <c r="N339" s="120"/>
      <c r="O339" s="120"/>
      <c r="P339" s="121"/>
      <c r="Q339" s="91"/>
      <c r="R339" s="17"/>
      <c r="S339" s="54"/>
      <c r="T339" s="171"/>
      <c r="U339" s="120"/>
      <c r="V339" s="120"/>
      <c r="W339" s="120"/>
      <c r="X339" s="120"/>
      <c r="Y339" s="140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5.75" customHeight="1" outlineLevel="1" x14ac:dyDescent="0.2">
      <c r="A340" s="27" t="s">
        <v>197</v>
      </c>
      <c r="B340" s="92"/>
      <c r="C340" s="93"/>
      <c r="D340" s="94"/>
      <c r="E340" s="233"/>
      <c r="F340" s="120"/>
      <c r="G340" s="120"/>
      <c r="H340" s="120"/>
      <c r="I340" s="120"/>
      <c r="J340" s="120"/>
      <c r="K340" s="121"/>
      <c r="L340" s="215" t="s">
        <v>209</v>
      </c>
      <c r="M340" s="120"/>
      <c r="N340" s="120"/>
      <c r="O340" s="120"/>
      <c r="P340" s="121"/>
      <c r="Q340" s="91"/>
      <c r="R340" s="17"/>
      <c r="S340" s="54"/>
      <c r="T340" s="171"/>
      <c r="U340" s="120"/>
      <c r="V340" s="120"/>
      <c r="W340" s="120"/>
      <c r="X340" s="120"/>
      <c r="Y340" s="140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5.75" customHeight="1" outlineLevel="1" x14ac:dyDescent="0.2">
      <c r="A341" s="75" t="s">
        <v>440</v>
      </c>
      <c r="B341" s="92"/>
      <c r="C341" s="95"/>
      <c r="D341" s="4"/>
      <c r="E341" s="233"/>
      <c r="F341" s="120"/>
      <c r="G341" s="120"/>
      <c r="H341" s="120"/>
      <c r="I341" s="120"/>
      <c r="J341" s="120"/>
      <c r="K341" s="121"/>
      <c r="L341" s="218"/>
      <c r="M341" s="120"/>
      <c r="N341" s="120"/>
      <c r="O341" s="120"/>
      <c r="P341" s="120"/>
      <c r="Q341" s="120"/>
      <c r="R341" s="120"/>
      <c r="S341" s="120"/>
      <c r="T341" s="120"/>
      <c r="U341" s="120"/>
      <c r="V341" s="120"/>
      <c r="W341" s="120"/>
      <c r="X341" s="120"/>
      <c r="Y341" s="121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5.75" customHeight="1" outlineLevel="1" x14ac:dyDescent="0.2">
      <c r="A342" s="27" t="s">
        <v>198</v>
      </c>
      <c r="B342" s="92"/>
      <c r="C342" s="93"/>
      <c r="D342" s="94"/>
      <c r="E342" s="233"/>
      <c r="F342" s="120"/>
      <c r="G342" s="120"/>
      <c r="H342" s="120"/>
      <c r="I342" s="120"/>
      <c r="J342" s="120"/>
      <c r="K342" s="121"/>
      <c r="L342" s="218"/>
      <c r="M342" s="120"/>
      <c r="N342" s="120"/>
      <c r="O342" s="120"/>
      <c r="P342" s="120"/>
      <c r="Q342" s="120"/>
      <c r="R342" s="120"/>
      <c r="S342" s="120"/>
      <c r="T342" s="120"/>
      <c r="U342" s="120"/>
      <c r="V342" s="120"/>
      <c r="W342" s="120"/>
      <c r="X342" s="120"/>
      <c r="Y342" s="121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5.75" customHeight="1" outlineLevel="1" x14ac:dyDescent="0.2">
      <c r="A343" s="27" t="s">
        <v>199</v>
      </c>
      <c r="B343" s="92"/>
      <c r="C343" s="93"/>
      <c r="D343" s="94"/>
      <c r="E343" s="233"/>
      <c r="F343" s="120"/>
      <c r="G343" s="120"/>
      <c r="H343" s="120"/>
      <c r="I343" s="120"/>
      <c r="J343" s="120"/>
      <c r="K343" s="121"/>
      <c r="L343" s="218"/>
      <c r="M343" s="120"/>
      <c r="N343" s="120"/>
      <c r="O343" s="120"/>
      <c r="P343" s="120"/>
      <c r="Q343" s="120"/>
      <c r="R343" s="120"/>
      <c r="S343" s="120"/>
      <c r="T343" s="120"/>
      <c r="U343" s="120"/>
      <c r="V343" s="120"/>
      <c r="W343" s="120"/>
      <c r="X343" s="120"/>
      <c r="Y343" s="121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5.75" customHeight="1" outlineLevel="1" x14ac:dyDescent="0.2">
      <c r="A344" s="27" t="s">
        <v>200</v>
      </c>
      <c r="B344" s="92"/>
      <c r="C344" s="93"/>
      <c r="D344" s="94"/>
      <c r="E344" s="233"/>
      <c r="F344" s="120"/>
      <c r="G344" s="120"/>
      <c r="H344" s="120"/>
      <c r="I344" s="120"/>
      <c r="J344" s="120"/>
      <c r="K344" s="121"/>
      <c r="L344" s="218"/>
      <c r="M344" s="120"/>
      <c r="N344" s="120"/>
      <c r="O344" s="120"/>
      <c r="P344" s="120"/>
      <c r="Q344" s="120"/>
      <c r="R344" s="120"/>
      <c r="S344" s="120"/>
      <c r="T344" s="120"/>
      <c r="U344" s="120"/>
      <c r="V344" s="120"/>
      <c r="W344" s="120"/>
      <c r="X344" s="120"/>
      <c r="Y344" s="121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5.75" customHeight="1" x14ac:dyDescent="0.2">
      <c r="A345" s="247" t="s">
        <v>441</v>
      </c>
      <c r="B345" s="156"/>
      <c r="C345" s="156"/>
      <c r="D345" s="156"/>
      <c r="E345" s="156"/>
      <c r="F345" s="156"/>
      <c r="G345" s="156"/>
      <c r="H345" s="156"/>
      <c r="I345" s="156"/>
      <c r="J345" s="156"/>
      <c r="K345" s="156"/>
      <c r="L345" s="156"/>
      <c r="M345" s="156"/>
      <c r="N345" s="156"/>
      <c r="O345" s="156"/>
      <c r="P345" s="156"/>
      <c r="Q345" s="156"/>
      <c r="R345" s="156"/>
      <c r="S345" s="156"/>
      <c r="T345" s="156"/>
      <c r="U345" s="156"/>
      <c r="V345" s="156"/>
      <c r="W345" s="156"/>
      <c r="X345" s="156"/>
      <c r="Y345" s="162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5.75" customHeight="1" outlineLevel="1" x14ac:dyDescent="0.2">
      <c r="A346" s="234" t="s">
        <v>80</v>
      </c>
      <c r="B346" s="235" t="s">
        <v>211</v>
      </c>
      <c r="C346" s="236"/>
      <c r="D346" s="236"/>
      <c r="E346" s="237"/>
      <c r="F346" s="241" t="s">
        <v>0</v>
      </c>
      <c r="G346" s="127"/>
      <c r="H346" s="127"/>
      <c r="I346" s="127"/>
      <c r="J346" s="127"/>
      <c r="K346" s="242"/>
      <c r="L346" s="253" t="s">
        <v>80</v>
      </c>
      <c r="M346" s="127"/>
      <c r="N346" s="127"/>
      <c r="O346" s="127"/>
      <c r="P346" s="242"/>
      <c r="Q346" s="235" t="s">
        <v>245</v>
      </c>
      <c r="R346" s="236"/>
      <c r="S346" s="237"/>
      <c r="T346" s="254" t="s">
        <v>0</v>
      </c>
      <c r="U346" s="127"/>
      <c r="V346" s="127"/>
      <c r="W346" s="127"/>
      <c r="X346" s="127"/>
      <c r="Y346" s="132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5.75" customHeight="1" outlineLevel="1" x14ac:dyDescent="0.2">
      <c r="A347" s="167"/>
      <c r="B347" s="96">
        <v>45944</v>
      </c>
      <c r="C347" s="97" t="s">
        <v>3</v>
      </c>
      <c r="D347" s="97" t="s">
        <v>4</v>
      </c>
      <c r="E347" s="97" t="s">
        <v>1</v>
      </c>
      <c r="F347" s="156"/>
      <c r="G347" s="156"/>
      <c r="H347" s="156"/>
      <c r="I347" s="156"/>
      <c r="J347" s="156"/>
      <c r="K347" s="157"/>
      <c r="L347" s="160"/>
      <c r="M347" s="156"/>
      <c r="N347" s="156"/>
      <c r="O347" s="156"/>
      <c r="P347" s="157"/>
      <c r="Q347" s="98" t="s">
        <v>23</v>
      </c>
      <c r="R347" s="98" t="s">
        <v>24</v>
      </c>
      <c r="S347" s="98" t="s">
        <v>25</v>
      </c>
      <c r="T347" s="160"/>
      <c r="U347" s="156"/>
      <c r="V347" s="156"/>
      <c r="W347" s="156"/>
      <c r="X347" s="156"/>
      <c r="Y347" s="162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5.75" customHeight="1" outlineLevel="1" x14ac:dyDescent="0.2">
      <c r="A348" s="99" t="s">
        <v>101</v>
      </c>
      <c r="B348" s="100"/>
      <c r="C348" s="100"/>
      <c r="D348" s="100"/>
      <c r="E348" s="100"/>
      <c r="F348" s="243"/>
      <c r="G348" s="120"/>
      <c r="H348" s="120"/>
      <c r="I348" s="120"/>
      <c r="J348" s="120"/>
      <c r="K348" s="121"/>
      <c r="L348" s="255" t="s">
        <v>102</v>
      </c>
      <c r="M348" s="118"/>
      <c r="N348" s="118"/>
      <c r="O348" s="118"/>
      <c r="P348" s="136"/>
      <c r="Q348" s="101"/>
      <c r="R348" s="72"/>
      <c r="S348" s="72"/>
      <c r="T348" s="171"/>
      <c r="U348" s="120"/>
      <c r="V348" s="120"/>
      <c r="W348" s="120"/>
      <c r="X348" s="120"/>
      <c r="Y348" s="140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5.75" customHeight="1" outlineLevel="1" x14ac:dyDescent="0.2">
      <c r="A349" s="102" t="s">
        <v>556</v>
      </c>
      <c r="B349" s="103"/>
      <c r="C349" s="104"/>
      <c r="D349" s="104"/>
      <c r="E349" s="104"/>
      <c r="F349" s="244"/>
      <c r="G349" s="120"/>
      <c r="H349" s="120"/>
      <c r="I349" s="120"/>
      <c r="J349" s="120"/>
      <c r="K349" s="121"/>
      <c r="L349" s="248" t="s">
        <v>557</v>
      </c>
      <c r="M349" s="122"/>
      <c r="N349" s="122"/>
      <c r="O349" s="122"/>
      <c r="P349" s="131"/>
      <c r="Q349" s="115"/>
      <c r="R349" s="105"/>
      <c r="S349" s="105"/>
      <c r="T349" s="249"/>
      <c r="U349" s="120"/>
      <c r="V349" s="120"/>
      <c r="W349" s="120"/>
      <c r="X349" s="120"/>
      <c r="Y349" s="140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5.75" customHeight="1" outlineLevel="1" x14ac:dyDescent="0.2">
      <c r="A350" s="106" t="s">
        <v>442</v>
      </c>
      <c r="B350" s="3"/>
      <c r="C350" s="3"/>
      <c r="D350" s="3"/>
      <c r="E350" s="3"/>
      <c r="F350" s="171"/>
      <c r="G350" s="120"/>
      <c r="H350" s="120"/>
      <c r="I350" s="120"/>
      <c r="J350" s="120"/>
      <c r="K350" s="121"/>
      <c r="L350" s="249" t="s">
        <v>558</v>
      </c>
      <c r="M350" s="120"/>
      <c r="N350" s="120"/>
      <c r="O350" s="120"/>
      <c r="P350" s="121"/>
      <c r="Q350" s="107"/>
      <c r="R350" s="107"/>
      <c r="S350" s="107"/>
      <c r="T350" s="249"/>
      <c r="U350" s="120"/>
      <c r="V350" s="120"/>
      <c r="W350" s="120"/>
      <c r="X350" s="120"/>
      <c r="Y350" s="140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5.75" customHeight="1" outlineLevel="1" x14ac:dyDescent="0.2">
      <c r="A351" s="108" t="s">
        <v>443</v>
      </c>
      <c r="B351" s="3"/>
      <c r="C351" s="3"/>
      <c r="D351" s="3"/>
      <c r="E351" s="3"/>
      <c r="F351" s="171"/>
      <c r="G351" s="120"/>
      <c r="H351" s="120"/>
      <c r="I351" s="120"/>
      <c r="J351" s="120"/>
      <c r="K351" s="121"/>
      <c r="L351" s="250" t="s">
        <v>444</v>
      </c>
      <c r="M351" s="120"/>
      <c r="N351" s="120"/>
      <c r="O351" s="120"/>
      <c r="P351" s="121"/>
      <c r="Q351" s="93"/>
      <c r="R351" s="93"/>
      <c r="S351" s="93"/>
      <c r="T351" s="233"/>
      <c r="U351" s="120"/>
      <c r="V351" s="120"/>
      <c r="W351" s="120"/>
      <c r="X351" s="120"/>
      <c r="Y351" s="140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5.75" customHeight="1" outlineLevel="1" x14ac:dyDescent="0.2">
      <c r="A352" s="108" t="s">
        <v>445</v>
      </c>
      <c r="B352" s="3"/>
      <c r="C352" s="3"/>
      <c r="D352" s="3"/>
      <c r="E352" s="3"/>
      <c r="F352" s="171"/>
      <c r="G352" s="120"/>
      <c r="H352" s="120"/>
      <c r="I352" s="120"/>
      <c r="J352" s="120"/>
      <c r="K352" s="121"/>
      <c r="L352" s="250" t="s">
        <v>446</v>
      </c>
      <c r="M352" s="120"/>
      <c r="N352" s="120"/>
      <c r="O352" s="120"/>
      <c r="P352" s="121"/>
      <c r="Q352" s="93"/>
      <c r="R352" s="109"/>
      <c r="S352" s="93"/>
      <c r="T352" s="233"/>
      <c r="U352" s="120"/>
      <c r="V352" s="120"/>
      <c r="W352" s="120"/>
      <c r="X352" s="120"/>
      <c r="Y352" s="140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5.75" customHeight="1" outlineLevel="1" x14ac:dyDescent="0.2">
      <c r="A353" s="106" t="s">
        <v>447</v>
      </c>
      <c r="B353" s="3"/>
      <c r="C353" s="3"/>
      <c r="D353" s="3"/>
      <c r="E353" s="3"/>
      <c r="F353" s="171"/>
      <c r="G353" s="120"/>
      <c r="H353" s="120"/>
      <c r="I353" s="120"/>
      <c r="J353" s="120"/>
      <c r="K353" s="121"/>
      <c r="L353" s="250" t="s">
        <v>448</v>
      </c>
      <c r="M353" s="120"/>
      <c r="N353" s="120"/>
      <c r="O353" s="120"/>
      <c r="P353" s="121"/>
      <c r="Q353" s="93"/>
      <c r="R353" s="93"/>
      <c r="S353" s="93"/>
      <c r="T353" s="233"/>
      <c r="U353" s="120"/>
      <c r="V353" s="120"/>
      <c r="W353" s="120"/>
      <c r="X353" s="120"/>
      <c r="Y353" s="140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5.75" customHeight="1" outlineLevel="1" x14ac:dyDescent="0.2">
      <c r="A354" s="108" t="s">
        <v>449</v>
      </c>
      <c r="B354" s="3"/>
      <c r="C354" s="3"/>
      <c r="D354" s="3"/>
      <c r="E354" s="3"/>
      <c r="F354" s="171"/>
      <c r="G354" s="120"/>
      <c r="H354" s="120"/>
      <c r="I354" s="120"/>
      <c r="J354" s="120"/>
      <c r="K354" s="121"/>
      <c r="L354" s="249" t="s">
        <v>559</v>
      </c>
      <c r="M354" s="120"/>
      <c r="N354" s="120"/>
      <c r="O354" s="120"/>
      <c r="P354" s="121"/>
      <c r="Q354" s="107"/>
      <c r="R354" s="107"/>
      <c r="S354" s="107"/>
      <c r="T354" s="249"/>
      <c r="U354" s="120"/>
      <c r="V354" s="120"/>
      <c r="W354" s="120"/>
      <c r="X354" s="120"/>
      <c r="Y354" s="140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5.75" customHeight="1" outlineLevel="1" x14ac:dyDescent="0.2">
      <c r="A355" s="110" t="s">
        <v>450</v>
      </c>
      <c r="B355" s="2"/>
      <c r="C355" s="2"/>
      <c r="D355" s="2"/>
      <c r="E355" s="2"/>
      <c r="F355" s="123"/>
      <c r="G355" s="127"/>
      <c r="H355" s="127"/>
      <c r="I355" s="127"/>
      <c r="J355" s="127"/>
      <c r="K355" s="126"/>
      <c r="L355" s="251" t="s">
        <v>451</v>
      </c>
      <c r="M355" s="120"/>
      <c r="N355" s="120"/>
      <c r="O355" s="120"/>
      <c r="P355" s="121"/>
      <c r="Q355" s="93"/>
      <c r="R355" s="93"/>
      <c r="S355" s="93"/>
      <c r="T355" s="233"/>
      <c r="U355" s="120"/>
      <c r="V355" s="120"/>
      <c r="W355" s="120"/>
      <c r="X355" s="120"/>
      <c r="Y355" s="140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5.75" customHeight="1" outlineLevel="1" x14ac:dyDescent="0.2">
      <c r="A356" s="116"/>
      <c r="B356" s="117" t="s">
        <v>23</v>
      </c>
      <c r="C356" s="117" t="s">
        <v>24</v>
      </c>
      <c r="D356" s="268" t="s">
        <v>25</v>
      </c>
      <c r="E356" s="121"/>
      <c r="F356" s="268" t="s">
        <v>0</v>
      </c>
      <c r="G356" s="120"/>
      <c r="H356" s="120"/>
      <c r="I356" s="120"/>
      <c r="J356" s="120"/>
      <c r="K356" s="121"/>
      <c r="L356" s="250" t="s">
        <v>452</v>
      </c>
      <c r="M356" s="120"/>
      <c r="N356" s="120"/>
      <c r="O356" s="120"/>
      <c r="P356" s="121"/>
      <c r="Q356" s="93"/>
      <c r="R356" s="93"/>
      <c r="S356" s="93"/>
      <c r="T356" s="233"/>
      <c r="U356" s="120"/>
      <c r="V356" s="120"/>
      <c r="W356" s="120"/>
      <c r="X356" s="120"/>
      <c r="Y356" s="140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5.75" customHeight="1" outlineLevel="1" x14ac:dyDescent="0.2">
      <c r="A357" s="111" t="s">
        <v>560</v>
      </c>
      <c r="B357" s="112"/>
      <c r="C357" s="112"/>
      <c r="D357" s="238"/>
      <c r="E357" s="239"/>
      <c r="F357" s="238"/>
      <c r="G357" s="240"/>
      <c r="H357" s="240"/>
      <c r="I357" s="240"/>
      <c r="J357" s="240"/>
      <c r="K357" s="239"/>
      <c r="L357" s="252"/>
      <c r="M357" s="144"/>
      <c r="N357" s="144"/>
      <c r="O357" s="144"/>
      <c r="P357" s="144"/>
      <c r="Q357" s="144"/>
      <c r="R357" s="144"/>
      <c r="S357" s="144"/>
      <c r="T357" s="144"/>
      <c r="U357" s="144"/>
      <c r="V357" s="144"/>
      <c r="W357" s="144"/>
      <c r="X357" s="144"/>
      <c r="Y357" s="142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5.75" customHeight="1" x14ac:dyDescent="0.2">
      <c r="A358" s="1"/>
      <c r="B358" s="113"/>
      <c r="C358" s="113"/>
      <c r="D358" s="113"/>
      <c r="E358" s="113"/>
      <c r="F358" s="113"/>
      <c r="G358" s="113"/>
      <c r="H358" s="113"/>
      <c r="I358" s="113"/>
      <c r="J358" s="113"/>
      <c r="K358" s="113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spans="1:39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spans="1:39" ht="15.75" customHeight="1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5.75" customHeight="1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5.75" customHeight="1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5.75" customHeight="1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5.75" customHeight="1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5.75" customHeight="1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5.75" customHeight="1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5.75" customHeight="1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5.75" customHeight="1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5.75" customHeight="1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5.75" customHeight="1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5.75" customHeight="1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5.75" customHeight="1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5.75" customHeight="1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5.75" customHeight="1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5.75" customHeight="1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5.75" customHeight="1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5.75" customHeight="1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5.75" customHeight="1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5.75" customHeight="1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5.75" customHeight="1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5.75" customHeight="1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5.75" customHeight="1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5.75" customHeight="1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5.75" customHeight="1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5.75" customHeight="1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5.75" customHeight="1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5.75" customHeight="1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5.75" customHeight="1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5.75" customHeight="1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5.75" customHeight="1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5.75" customHeight="1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5.75" customHeight="1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5.75" customHeight="1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5.75" customHeight="1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5.75" customHeight="1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5.75" customHeight="1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5.75" customHeight="1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5.75" customHeight="1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5.75" customHeight="1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5.75" customHeight="1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5.75" customHeight="1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5.75" customHeight="1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5.75" customHeight="1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5.75" customHeight="1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5.75" customHeight="1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5.75" customHeight="1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5.75" customHeight="1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5.75" customHeight="1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5.75" customHeight="1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5.75" customHeight="1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5.75" customHeight="1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5.75" customHeight="1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5.75" customHeight="1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5.75" customHeight="1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5.75" customHeight="1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5.75" customHeight="1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5.75" customHeight="1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5.75" customHeight="1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5.75" customHeight="1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5.75" customHeight="1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5.75" customHeight="1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5.75" customHeight="1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5.75" customHeight="1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5.75" customHeight="1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5.75" customHeight="1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5.75" customHeight="1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5.75" customHeight="1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5.75" customHeight="1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5.75" customHeight="1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5.75" customHeight="1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5.75" customHeight="1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5.75" customHeight="1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5.75" customHeight="1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5.75" customHeight="1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5.75" customHeight="1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5.75" customHeight="1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5.75" customHeight="1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5.75" customHeight="1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5.75" customHeight="1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5.75" customHeight="1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5.75" customHeight="1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5.75" customHeight="1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5.75" customHeight="1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5.75" customHeight="1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5.75" customHeight="1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5.75" customHeight="1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5.75" customHeight="1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5.75" customHeight="1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5.75" customHeight="1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5.75" customHeight="1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5.75" customHeight="1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5.75" customHeight="1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5.75" customHeight="1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5.75" customHeight="1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5.75" customHeight="1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5.75" customHeight="1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5.75" customHeight="1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spans="1:39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spans="1:39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spans="1:39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spans="1:39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spans="1:39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spans="1:39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spans="1:39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spans="1:39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spans="1:39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 spans="1:39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 spans="1:39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 spans="1:39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 spans="1:39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 spans="1:39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 spans="1:39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 spans="1:39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 spans="1:39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 spans="1:39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 spans="1:39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spans="1:39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spans="1:39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spans="1:39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spans="1:39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 spans="1:39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spans="1:39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spans="1:39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spans="1:39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spans="1:39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 spans="1:39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 spans="1:39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 spans="1:39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 spans="1:39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 spans="1:39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 spans="1:39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 spans="1:39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 spans="1:39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 spans="1:39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 spans="1:39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 spans="1:39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 spans="1:39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 spans="1:39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 spans="1:39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  <row r="501" spans="1:39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</row>
    <row r="502" spans="1:39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</row>
    <row r="503" spans="1:39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r="504" spans="1:39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</row>
    <row r="505" spans="1:39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</row>
    <row r="506" spans="1:39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</row>
    <row r="507" spans="1:39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</row>
    <row r="508" spans="1:39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</row>
    <row r="509" spans="1:39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</row>
    <row r="510" spans="1:39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</row>
    <row r="511" spans="1:39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</row>
    <row r="512" spans="1:39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</row>
    <row r="513" spans="1:39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</row>
    <row r="514" spans="1:39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</row>
    <row r="515" spans="1:39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</row>
    <row r="516" spans="1:39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</row>
    <row r="517" spans="1:39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</row>
    <row r="518" spans="1:39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</row>
    <row r="519" spans="1:39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</row>
    <row r="520" spans="1:39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</row>
    <row r="521" spans="1:39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</row>
    <row r="522" spans="1:39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</row>
    <row r="523" spans="1:39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</row>
    <row r="524" spans="1:39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</row>
    <row r="525" spans="1:39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</row>
    <row r="526" spans="1:39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</row>
    <row r="527" spans="1:39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</row>
    <row r="528" spans="1:39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</row>
    <row r="529" spans="1:39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</row>
    <row r="530" spans="1:39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</row>
    <row r="531" spans="1:39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</row>
    <row r="532" spans="1:39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</row>
    <row r="533" spans="1:39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</row>
    <row r="534" spans="1:39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</row>
    <row r="535" spans="1:39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</row>
    <row r="536" spans="1:39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</row>
    <row r="537" spans="1:39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</row>
    <row r="538" spans="1:39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</row>
    <row r="539" spans="1:39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</row>
    <row r="540" spans="1:39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</row>
    <row r="541" spans="1:39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</row>
    <row r="542" spans="1:39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</row>
    <row r="543" spans="1:39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</row>
    <row r="544" spans="1:39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</row>
    <row r="545" spans="1:39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 spans="1:39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 spans="1:39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</row>
    <row r="548" spans="1:39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</row>
    <row r="549" spans="1:39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</row>
    <row r="550" spans="1:39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</row>
    <row r="551" spans="1:39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</row>
    <row r="552" spans="1:39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</row>
    <row r="553" spans="1:39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</row>
    <row r="554" spans="1:39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</row>
    <row r="555" spans="1:39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</row>
    <row r="556" spans="1:39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</row>
    <row r="557" spans="1:39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</row>
    <row r="558" spans="1:39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</row>
    <row r="559" spans="1:39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</row>
    <row r="560" spans="1:39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</row>
    <row r="561" spans="1:39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</row>
    <row r="562" spans="1:39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</row>
    <row r="563" spans="1:39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</row>
    <row r="564" spans="1:39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</row>
    <row r="565" spans="1:39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</row>
    <row r="566" spans="1:39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</row>
    <row r="567" spans="1:39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</row>
    <row r="568" spans="1:39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</row>
    <row r="569" spans="1:39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</row>
    <row r="570" spans="1:39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</row>
    <row r="571" spans="1:39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</row>
    <row r="572" spans="1:39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</row>
    <row r="573" spans="1:39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 spans="1:39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r="575" spans="1:39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 spans="1:39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 spans="1:39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 spans="1:39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 spans="1:39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 spans="1:39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 spans="1:39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 spans="1:39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r="583" spans="1:39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 spans="1:39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r="585" spans="1:39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 spans="1:39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r="587" spans="1:39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 spans="1:39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 spans="1:39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r="590" spans="1:39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</row>
    <row r="591" spans="1:39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</row>
    <row r="592" spans="1:39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</row>
    <row r="593" spans="1:39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</row>
    <row r="594" spans="1:39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</row>
    <row r="595" spans="1:39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</row>
    <row r="596" spans="1:39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r="597" spans="1:39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</row>
    <row r="598" spans="1:39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</row>
    <row r="599" spans="1:39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</row>
    <row r="600" spans="1:39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</row>
    <row r="601" spans="1:39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r="602" spans="1:39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r="603" spans="1:39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r="604" spans="1:39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 spans="1:39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r="606" spans="1:39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r="607" spans="1:39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 spans="1:39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r="609" spans="1:39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 spans="1:39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r="611" spans="1:39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r="612" spans="1:39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r="613" spans="1:39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r="614" spans="1:39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r="615" spans="1:39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r="616" spans="1:39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r="617" spans="1:39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r="618" spans="1:39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 spans="1:39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r="620" spans="1:39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 spans="1:39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</row>
    <row r="622" spans="1:39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r="623" spans="1:39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</row>
    <row r="624" spans="1:39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</row>
    <row r="625" spans="1:39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</row>
    <row r="626" spans="1:39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</row>
    <row r="627" spans="1:39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r="628" spans="1:39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</row>
    <row r="629" spans="1:39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r="630" spans="1:39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</row>
    <row r="631" spans="1:39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</row>
    <row r="632" spans="1:39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r="633" spans="1:39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 spans="1:39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</row>
    <row r="635" spans="1:39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 spans="1:39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r="637" spans="1:39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 spans="1:39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 spans="1:39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 spans="1:39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 spans="1:39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 spans="1:39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 spans="1:39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 spans="1:39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 spans="1:39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 spans="1:39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 spans="1:39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 spans="1:39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 spans="1:39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 spans="1:39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 spans="1:39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 spans="1:39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r="653" spans="1:39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 spans="1:39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</row>
    <row r="655" spans="1:39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 spans="1:39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</row>
    <row r="657" spans="1:39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r="658" spans="1:39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r="659" spans="1:39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</row>
    <row r="660" spans="1:39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r="661" spans="1:39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r="662" spans="1:39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</row>
    <row r="663" spans="1:39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 spans="1:39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 spans="1:39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r="666" spans="1:39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 spans="1:39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r="668" spans="1:39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 spans="1:39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 spans="1:39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 spans="1:39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 spans="1:39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 spans="1:39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 spans="1:39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 spans="1:39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 spans="1:39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 spans="1:39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 spans="1:39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 spans="1:39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 spans="1:39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 spans="1:39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 spans="1:39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 spans="1:39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r="684" spans="1:39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r="685" spans="1:39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</row>
    <row r="686" spans="1:39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r="687" spans="1:39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</row>
    <row r="688" spans="1:39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r="689" spans="1:39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r="690" spans="1:39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</row>
    <row r="691" spans="1:39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r="692" spans="1:39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r="693" spans="1:39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</row>
    <row r="694" spans="1:39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 spans="1:39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 spans="1:39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r="697" spans="1:39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 spans="1:39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r="699" spans="1:39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 spans="1:39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 spans="1:39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 spans="1:39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 spans="1:39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 spans="1:39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 spans="1:39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 spans="1:39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 spans="1:39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 spans="1:39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 spans="1:39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 spans="1:39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 spans="1:39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 spans="1:39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 spans="1:39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 spans="1:39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r="715" spans="1:39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r="716" spans="1:39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</row>
    <row r="717" spans="1:39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r="718" spans="1:39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</row>
    <row r="719" spans="1:39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r="720" spans="1:39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r="721" spans="1:39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</row>
    <row r="722" spans="1:39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r="723" spans="1:39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r="724" spans="1:39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</row>
    <row r="725" spans="1:39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 spans="1:39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 spans="1:39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r="728" spans="1:39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 spans="1:39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r="730" spans="1:39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 spans="1:39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 spans="1:39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 spans="1:39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 spans="1:39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 spans="1:39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 spans="1:39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 spans="1:39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 spans="1:39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 spans="1:39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 spans="1:39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 spans="1:39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 spans="1:39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 spans="1:39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 spans="1:39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 spans="1:39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r="746" spans="1:39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r="747" spans="1:39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</row>
    <row r="748" spans="1:39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r="749" spans="1:39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</row>
    <row r="750" spans="1:39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r="751" spans="1:39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r="752" spans="1:39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</row>
    <row r="753" spans="1:39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r="754" spans="1:39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r="755" spans="1:39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</row>
    <row r="756" spans="1:39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 spans="1:39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 spans="1:39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r="759" spans="1:39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 spans="1:39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r="761" spans="1:39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 spans="1:39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 spans="1:39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 spans="1:39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 spans="1:39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 spans="1:39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 spans="1:39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 spans="1:39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 spans="1:39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 spans="1:39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 spans="1:39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 spans="1:39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 spans="1:39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 spans="1:39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 spans="1:39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 spans="1:39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r="777" spans="1:39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r="778" spans="1:39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</row>
    <row r="779" spans="1:39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r="780" spans="1:39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</row>
    <row r="781" spans="1:39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r="782" spans="1:39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 spans="1:39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r="784" spans="1:39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 spans="1:39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 spans="1:39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r="787" spans="1:39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 spans="1:39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 spans="1:39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 spans="1:39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 spans="1:39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 spans="1:39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 spans="1:39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 spans="1:39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 spans="1:39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 spans="1:39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 spans="1:39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 spans="1:39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 spans="1:39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 spans="1:39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 spans="1:39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 spans="1:39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 spans="1:39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 spans="1:39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 spans="1:39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 spans="1:39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 spans="1:39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 spans="1:39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 spans="1:39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r="810" spans="1:39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 spans="1:39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r="812" spans="1:39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 spans="1:39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 spans="1:39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r="815" spans="1:39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 spans="1:39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 spans="1:39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r="818" spans="1:39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 spans="1:39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 spans="1:39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r="821" spans="1:39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 spans="1:39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r="823" spans="1:39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 spans="1:39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 spans="1:39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 spans="1:39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 spans="1:39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</row>
    <row r="828" spans="1:39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</row>
    <row r="829" spans="1:39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</row>
    <row r="830" spans="1:39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</row>
    <row r="831" spans="1:39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</row>
    <row r="832" spans="1:39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</row>
    <row r="833" spans="1:39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</row>
    <row r="834" spans="1:39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</row>
    <row r="835" spans="1:39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</row>
    <row r="836" spans="1:39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</row>
    <row r="837" spans="1:39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</row>
    <row r="838" spans="1:39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</row>
    <row r="839" spans="1:39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</row>
    <row r="840" spans="1:39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</row>
    <row r="841" spans="1:39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</row>
    <row r="842" spans="1:39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</row>
    <row r="843" spans="1:39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</row>
    <row r="844" spans="1:39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</row>
    <row r="845" spans="1:39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</row>
    <row r="846" spans="1:39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</row>
    <row r="847" spans="1:39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</row>
    <row r="848" spans="1:39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</row>
    <row r="849" spans="1:39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</row>
    <row r="850" spans="1:39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</row>
    <row r="851" spans="1:39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</row>
    <row r="852" spans="1:39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</row>
    <row r="853" spans="1:39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</row>
    <row r="854" spans="1:39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</row>
    <row r="855" spans="1:39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</row>
    <row r="856" spans="1:39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</row>
    <row r="857" spans="1:39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</row>
    <row r="858" spans="1:39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</row>
    <row r="859" spans="1:39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</row>
    <row r="860" spans="1:39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</row>
    <row r="861" spans="1:39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</row>
    <row r="862" spans="1:39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</row>
    <row r="863" spans="1:39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</row>
    <row r="864" spans="1:39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</row>
    <row r="865" spans="1:39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</row>
    <row r="866" spans="1:39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</row>
    <row r="867" spans="1:39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</row>
    <row r="868" spans="1:39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</row>
    <row r="869" spans="1:39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</row>
    <row r="870" spans="1:39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</row>
    <row r="871" spans="1:39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</row>
    <row r="872" spans="1:39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</row>
    <row r="873" spans="1:39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</row>
    <row r="874" spans="1:39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</row>
    <row r="875" spans="1:39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</row>
    <row r="876" spans="1:39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</row>
    <row r="877" spans="1:39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</row>
    <row r="878" spans="1:39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</row>
    <row r="879" spans="1:39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</row>
    <row r="880" spans="1:39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</row>
    <row r="881" spans="1:39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</row>
    <row r="882" spans="1:39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</row>
    <row r="883" spans="1:39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</row>
    <row r="884" spans="1:39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</row>
    <row r="885" spans="1:39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</row>
    <row r="886" spans="1:39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</row>
    <row r="887" spans="1:39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</row>
    <row r="888" spans="1:39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</row>
    <row r="889" spans="1:39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</row>
    <row r="890" spans="1:39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</row>
    <row r="891" spans="1:39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</row>
    <row r="892" spans="1:39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</row>
    <row r="893" spans="1:39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</row>
    <row r="894" spans="1:39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</row>
    <row r="895" spans="1:39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</row>
    <row r="896" spans="1:39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</row>
    <row r="897" spans="1:39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</row>
    <row r="898" spans="1:39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</row>
    <row r="899" spans="1:39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</row>
    <row r="900" spans="1:39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</row>
    <row r="901" spans="1:39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</row>
    <row r="902" spans="1:39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</row>
    <row r="903" spans="1:39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</row>
    <row r="904" spans="1:39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</row>
    <row r="905" spans="1:39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</row>
    <row r="906" spans="1:39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</row>
    <row r="907" spans="1:39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</row>
    <row r="908" spans="1:39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</row>
    <row r="909" spans="1:39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</row>
    <row r="910" spans="1:39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</row>
    <row r="911" spans="1:39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</row>
    <row r="912" spans="1:39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</row>
    <row r="913" spans="1:39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</row>
    <row r="914" spans="1:39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</row>
    <row r="915" spans="1:39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</row>
    <row r="916" spans="1:39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</row>
    <row r="917" spans="1:39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</row>
    <row r="918" spans="1:39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</row>
    <row r="919" spans="1:39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</row>
    <row r="920" spans="1:39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</row>
    <row r="921" spans="1:39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</row>
    <row r="922" spans="1:39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</row>
    <row r="923" spans="1:39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</row>
    <row r="924" spans="1:39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</row>
    <row r="925" spans="1:39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</row>
    <row r="926" spans="1:39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</row>
    <row r="927" spans="1:39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</row>
    <row r="928" spans="1:39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</row>
    <row r="929" spans="1:39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</row>
    <row r="930" spans="1:39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</row>
    <row r="931" spans="1:39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</row>
    <row r="932" spans="1:39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</row>
    <row r="933" spans="1:39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</row>
    <row r="934" spans="1:39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</row>
    <row r="935" spans="1:39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</row>
    <row r="936" spans="1:39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</row>
    <row r="937" spans="1:39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</row>
    <row r="938" spans="1:39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</row>
    <row r="939" spans="1:39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</row>
    <row r="940" spans="1:39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</row>
    <row r="941" spans="1:39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</row>
    <row r="942" spans="1:39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</row>
    <row r="943" spans="1:39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</row>
    <row r="944" spans="1:39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</row>
    <row r="945" spans="1:39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</row>
    <row r="946" spans="1:39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</row>
    <row r="947" spans="1:39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</row>
    <row r="948" spans="1:39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</row>
    <row r="949" spans="1:39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</row>
    <row r="950" spans="1:39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</row>
    <row r="951" spans="1:39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</row>
    <row r="952" spans="1:39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</row>
    <row r="953" spans="1:39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</row>
    <row r="954" spans="1:39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</row>
    <row r="955" spans="1:39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</row>
    <row r="956" spans="1:39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</row>
    <row r="957" spans="1:39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</row>
    <row r="958" spans="1:39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</row>
    <row r="959" spans="1:39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</row>
    <row r="960" spans="1:39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</row>
    <row r="961" spans="1:39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</row>
    <row r="962" spans="1:39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</row>
    <row r="963" spans="1:39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</row>
    <row r="964" spans="1:39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</row>
    <row r="965" spans="1:39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</row>
    <row r="966" spans="1:39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</row>
    <row r="967" spans="1:39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</row>
    <row r="968" spans="1:39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</row>
    <row r="969" spans="1:39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</row>
    <row r="970" spans="1:39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</row>
    <row r="971" spans="1:39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</row>
    <row r="972" spans="1:39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</row>
    <row r="973" spans="1:39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</row>
    <row r="974" spans="1:39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</row>
    <row r="975" spans="1:39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</row>
    <row r="976" spans="1:39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</row>
    <row r="977" spans="1:39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</row>
    <row r="978" spans="1:39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</row>
    <row r="979" spans="1:39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</row>
    <row r="980" spans="1:39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</row>
    <row r="981" spans="1:39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</row>
    <row r="982" spans="1:39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</row>
    <row r="983" spans="1:39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</row>
    <row r="984" spans="1:39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</row>
    <row r="985" spans="1:39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</row>
    <row r="986" spans="1:39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</row>
    <row r="987" spans="1:39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</row>
    <row r="988" spans="1:39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</row>
    <row r="989" spans="1:39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</row>
    <row r="990" spans="1:39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</row>
    <row r="991" spans="1:39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</row>
    <row r="992" spans="1:39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</row>
    <row r="993" spans="1:39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</row>
    <row r="994" spans="1:39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</row>
    <row r="995" spans="1:39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</row>
    <row r="996" spans="1:39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</row>
    <row r="997" spans="1:39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</row>
    <row r="998" spans="1:39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</row>
    <row r="999" spans="1:39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</row>
    <row r="1000" spans="1:39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</row>
    <row r="1001" spans="1:39" ht="15.75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</row>
    <row r="1002" spans="1:39" ht="15.75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</row>
    <row r="1003" spans="1:39" ht="15.75" customHeight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</row>
    <row r="1004" spans="1:39" ht="15.75" customHeight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</row>
    <row r="1005" spans="1:39" ht="15.75" customHeight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</row>
    <row r="1006" spans="1:39" ht="15.75" customHeight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</row>
    <row r="1007" spans="1:39" ht="15.75" customHeight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</row>
    <row r="1008" spans="1:39" ht="15.75" customHeight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</row>
    <row r="1009" spans="1:39" ht="15.75" customHeight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</row>
    <row r="1010" spans="1:39" ht="15.75" customHeight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</row>
    <row r="1011" spans="1:39" ht="15.75" customHeight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</row>
    <row r="1012" spans="1:39" ht="15.75" customHeight="1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</row>
    <row r="1013" spans="1:39" ht="15.75" customHeight="1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</row>
    <row r="1014" spans="1:39" ht="15.75" customHeight="1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</row>
    <row r="1015" spans="1:39" ht="15.75" customHeight="1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</row>
    <row r="1016" spans="1:39" ht="15.75" customHeight="1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</row>
    <row r="1017" spans="1:39" ht="15.75" customHeight="1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</row>
    <row r="1018" spans="1:39" ht="15.75" customHeight="1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</row>
    <row r="1019" spans="1:39" ht="15.75" customHeight="1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</row>
    <row r="1020" spans="1:39" ht="15.75" customHeight="1" x14ac:dyDescent="0.2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</row>
    <row r="1021" spans="1:39" ht="15.75" customHeight="1" x14ac:dyDescent="0.2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</row>
    <row r="1022" spans="1:39" ht="15.75" customHeight="1" x14ac:dyDescent="0.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</row>
    <row r="1023" spans="1:39" ht="15.75" customHeight="1" x14ac:dyDescent="0.2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</row>
    <row r="1024" spans="1:39" ht="15.75" customHeight="1" x14ac:dyDescent="0.2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</row>
    <row r="1025" spans="1:39" ht="15.75" customHeight="1" x14ac:dyDescent="0.2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</row>
    <row r="1026" spans="1:39" ht="15.75" customHeight="1" x14ac:dyDescent="0.2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</row>
    <row r="1027" spans="1:39" ht="15.75" customHeight="1" x14ac:dyDescent="0.2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</row>
    <row r="1028" spans="1:39" ht="15.75" customHeight="1" x14ac:dyDescent="0.2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</row>
    <row r="1029" spans="1:39" ht="15.75" customHeight="1" x14ac:dyDescent="0.2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</row>
    <row r="1030" spans="1:39" ht="15.75" customHeight="1" x14ac:dyDescent="0.2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</row>
    <row r="1031" spans="1:39" ht="15.75" customHeight="1" x14ac:dyDescent="0.2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</row>
    <row r="1032" spans="1:39" ht="15.75" customHeight="1" x14ac:dyDescent="0.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</row>
    <row r="1033" spans="1:39" ht="15.75" customHeight="1" x14ac:dyDescent="0.2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</row>
    <row r="1034" spans="1:39" ht="15.75" customHeight="1" x14ac:dyDescent="0.2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</row>
    <row r="1035" spans="1:39" ht="15.75" customHeight="1" x14ac:dyDescent="0.2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</row>
    <row r="1036" spans="1:39" ht="15.75" customHeight="1" x14ac:dyDescent="0.2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</row>
    <row r="1037" spans="1:39" ht="15.75" customHeight="1" x14ac:dyDescent="0.2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</row>
    <row r="1038" spans="1:39" ht="15.75" customHeight="1" x14ac:dyDescent="0.2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</row>
    <row r="1039" spans="1:39" ht="15.75" customHeight="1" x14ac:dyDescent="0.2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</row>
    <row r="1040" spans="1:39" ht="15.75" customHeight="1" x14ac:dyDescent="0.2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</row>
    <row r="1041" spans="1:39" ht="15.75" customHeight="1" x14ac:dyDescent="0.2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</row>
    <row r="1042" spans="1:39" ht="15.75" customHeight="1" x14ac:dyDescent="0.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</row>
    <row r="1043" spans="1:39" ht="15.75" customHeight="1" x14ac:dyDescent="0.2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</row>
    <row r="1044" spans="1:39" ht="15.75" customHeight="1" x14ac:dyDescent="0.2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</row>
    <row r="1045" spans="1:39" ht="15.75" customHeight="1" x14ac:dyDescent="0.2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</row>
    <row r="1046" spans="1:39" ht="15.75" customHeight="1" x14ac:dyDescent="0.2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</row>
    <row r="1047" spans="1:39" ht="15.75" customHeight="1" x14ac:dyDescent="0.2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</row>
    <row r="1048" spans="1:39" ht="15.75" customHeight="1" x14ac:dyDescent="0.2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</row>
    <row r="1049" spans="1:39" ht="15.75" customHeight="1" x14ac:dyDescent="0.2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</row>
    <row r="1050" spans="1:39" ht="15.75" customHeight="1" x14ac:dyDescent="0.2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</row>
    <row r="1051" spans="1:39" ht="15.75" customHeight="1" x14ac:dyDescent="0.2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</row>
    <row r="1052" spans="1:39" ht="15.75" customHeight="1" x14ac:dyDescent="0.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</row>
    <row r="1053" spans="1:39" ht="15.75" customHeight="1" x14ac:dyDescent="0.2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</row>
    <row r="1054" spans="1:39" ht="15.75" customHeight="1" x14ac:dyDescent="0.2"/>
    <row r="1055" spans="1:39" ht="15.75" customHeight="1" x14ac:dyDescent="0.2"/>
  </sheetData>
  <mergeCells count="987">
    <mergeCell ref="A346:A347"/>
    <mergeCell ref="B346:E346"/>
    <mergeCell ref="F346:K347"/>
    <mergeCell ref="F348:K348"/>
    <mergeCell ref="F349:K349"/>
    <mergeCell ref="L349:P349"/>
    <mergeCell ref="F350:K350"/>
    <mergeCell ref="L350:P350"/>
    <mergeCell ref="F351:K351"/>
    <mergeCell ref="L351:P351"/>
    <mergeCell ref="L346:P347"/>
    <mergeCell ref="Q346:S346"/>
    <mergeCell ref="T346:Y347"/>
    <mergeCell ref="L348:P348"/>
    <mergeCell ref="T348:Y348"/>
    <mergeCell ref="T349:Y349"/>
    <mergeCell ref="T350:Y350"/>
    <mergeCell ref="T351:Y351"/>
    <mergeCell ref="E341:K341"/>
    <mergeCell ref="E342:K342"/>
    <mergeCell ref="E343:K343"/>
    <mergeCell ref="E344:K344"/>
    <mergeCell ref="L344:Y344"/>
    <mergeCell ref="A345:Y345"/>
    <mergeCell ref="E338:K338"/>
    <mergeCell ref="L338:P338"/>
    <mergeCell ref="E339:K339"/>
    <mergeCell ref="L339:P339"/>
    <mergeCell ref="E340:K340"/>
    <mergeCell ref="L340:P340"/>
    <mergeCell ref="L341:Y341"/>
    <mergeCell ref="D357:E357"/>
    <mergeCell ref="F357:K357"/>
    <mergeCell ref="L357:Y357"/>
    <mergeCell ref="F352:K352"/>
    <mergeCell ref="L352:P352"/>
    <mergeCell ref="T352:Y352"/>
    <mergeCell ref="F353:K353"/>
    <mergeCell ref="L353:P353"/>
    <mergeCell ref="F354:K354"/>
    <mergeCell ref="L354:P354"/>
    <mergeCell ref="A263:Y263"/>
    <mergeCell ref="T353:Y353"/>
    <mergeCell ref="T354:Y354"/>
    <mergeCell ref="T355:Y355"/>
    <mergeCell ref="T356:Y356"/>
    <mergeCell ref="F355:K355"/>
    <mergeCell ref="L355:P355"/>
    <mergeCell ref="D356:E356"/>
    <mergeCell ref="F356:K356"/>
    <mergeCell ref="L356:P356"/>
    <mergeCell ref="T336:Y336"/>
    <mergeCell ref="T337:Y337"/>
    <mergeCell ref="T338:Y338"/>
    <mergeCell ref="T339:Y339"/>
    <mergeCell ref="T340:Y340"/>
    <mergeCell ref="E335:K335"/>
    <mergeCell ref="L335:P335"/>
    <mergeCell ref="T335:Y335"/>
    <mergeCell ref="E336:K336"/>
    <mergeCell ref="L336:P336"/>
    <mergeCell ref="E337:K337"/>
    <mergeCell ref="L337:P337"/>
    <mergeCell ref="L342:Y342"/>
    <mergeCell ref="L343:Y343"/>
    <mergeCell ref="L225:O226"/>
    <mergeCell ref="P225:P226"/>
    <mergeCell ref="Q225:Y226"/>
    <mergeCell ref="L227:Y227"/>
    <mergeCell ref="L228:S228"/>
    <mergeCell ref="L229:S229"/>
    <mergeCell ref="L230:S230"/>
    <mergeCell ref="L253:O253"/>
    <mergeCell ref="P253:Q253"/>
    <mergeCell ref="E208:K208"/>
    <mergeCell ref="L208:O208"/>
    <mergeCell ref="E209:K209"/>
    <mergeCell ref="P210:Q210"/>
    <mergeCell ref="S222:Y222"/>
    <mergeCell ref="S223:Y223"/>
    <mergeCell ref="S224:Y224"/>
    <mergeCell ref="S215:Y215"/>
    <mergeCell ref="S216:Y216"/>
    <mergeCell ref="S217:Y217"/>
    <mergeCell ref="S218:Y218"/>
    <mergeCell ref="S219:Y219"/>
    <mergeCell ref="S220:Y220"/>
    <mergeCell ref="S221:Y221"/>
    <mergeCell ref="E215:K215"/>
    <mergeCell ref="J216:K218"/>
    <mergeCell ref="F217:G217"/>
    <mergeCell ref="H217:I217"/>
    <mergeCell ref="J220:K220"/>
    <mergeCell ref="L223:O223"/>
    <mergeCell ref="L224:O224"/>
    <mergeCell ref="E203:K203"/>
    <mergeCell ref="L203:O203"/>
    <mergeCell ref="E204:K204"/>
    <mergeCell ref="L204:O204"/>
    <mergeCell ref="E205:K205"/>
    <mergeCell ref="L205:Y205"/>
    <mergeCell ref="E206:K206"/>
    <mergeCell ref="E207:K207"/>
    <mergeCell ref="L207:O207"/>
    <mergeCell ref="S207:Y207"/>
    <mergeCell ref="B217:C217"/>
    <mergeCell ref="D217:E217"/>
    <mergeCell ref="E210:K210"/>
    <mergeCell ref="E211:K211"/>
    <mergeCell ref="E212:K212"/>
    <mergeCell ref="E213:K213"/>
    <mergeCell ref="E214:K214"/>
    <mergeCell ref="A216:A218"/>
    <mergeCell ref="B216:I216"/>
    <mergeCell ref="S214:Y214"/>
    <mergeCell ref="L221:O221"/>
    <mergeCell ref="L222:O222"/>
    <mergeCell ref="L214:O214"/>
    <mergeCell ref="L215:O215"/>
    <mergeCell ref="L216:O216"/>
    <mergeCell ref="L217:O217"/>
    <mergeCell ref="L218:O218"/>
    <mergeCell ref="L219:O219"/>
    <mergeCell ref="L220:O220"/>
    <mergeCell ref="L202:O202"/>
    <mergeCell ref="S208:Y208"/>
    <mergeCell ref="S209:Y209"/>
    <mergeCell ref="S210:Y211"/>
    <mergeCell ref="L209:O209"/>
    <mergeCell ref="L210:O211"/>
    <mergeCell ref="R210:R211"/>
    <mergeCell ref="L212:Y212"/>
    <mergeCell ref="L213:O213"/>
    <mergeCell ref="S213:Y213"/>
    <mergeCell ref="L206:O206"/>
    <mergeCell ref="S206:Y206"/>
    <mergeCell ref="T334:Y334"/>
    <mergeCell ref="P192:Q192"/>
    <mergeCell ref="R192:R193"/>
    <mergeCell ref="S192:Y193"/>
    <mergeCell ref="A194:Y194"/>
    <mergeCell ref="S195:Y195"/>
    <mergeCell ref="S196:Y196"/>
    <mergeCell ref="S197:Y197"/>
    <mergeCell ref="E190:K190"/>
    <mergeCell ref="E191:K191"/>
    <mergeCell ref="L191:O191"/>
    <mergeCell ref="S191:Y191"/>
    <mergeCell ref="A192:A193"/>
    <mergeCell ref="B192:C192"/>
    <mergeCell ref="D192:D193"/>
    <mergeCell ref="E192:K193"/>
    <mergeCell ref="L192:O193"/>
    <mergeCell ref="E195:K195"/>
    <mergeCell ref="L195:O195"/>
    <mergeCell ref="E196:K196"/>
    <mergeCell ref="L196:O196"/>
    <mergeCell ref="L197:O197"/>
    <mergeCell ref="E197:K197"/>
    <mergeCell ref="E198:K198"/>
    <mergeCell ref="E330:K330"/>
    <mergeCell ref="L330:P330"/>
    <mergeCell ref="E331:K331"/>
    <mergeCell ref="L331:P331"/>
    <mergeCell ref="E332:K332"/>
    <mergeCell ref="L332:P332"/>
    <mergeCell ref="E333:K333"/>
    <mergeCell ref="L333:P333"/>
    <mergeCell ref="E334:K334"/>
    <mergeCell ref="L334:P334"/>
    <mergeCell ref="E325:K325"/>
    <mergeCell ref="L325:P325"/>
    <mergeCell ref="A326:A327"/>
    <mergeCell ref="B326:D326"/>
    <mergeCell ref="L326:P327"/>
    <mergeCell ref="Q326:S326"/>
    <mergeCell ref="A328:Y328"/>
    <mergeCell ref="E326:K327"/>
    <mergeCell ref="E329:K329"/>
    <mergeCell ref="L329:P329"/>
    <mergeCell ref="E321:K321"/>
    <mergeCell ref="L321:P321"/>
    <mergeCell ref="T321:Y321"/>
    <mergeCell ref="E322:K322"/>
    <mergeCell ref="L322:P322"/>
    <mergeCell ref="T322:Y322"/>
    <mergeCell ref="E323:K323"/>
    <mergeCell ref="L323:P323"/>
    <mergeCell ref="E324:K324"/>
    <mergeCell ref="L324:P324"/>
    <mergeCell ref="E318:K318"/>
    <mergeCell ref="L318:P318"/>
    <mergeCell ref="T318:Y318"/>
    <mergeCell ref="L319:P319"/>
    <mergeCell ref="T319:Y319"/>
    <mergeCell ref="E319:K319"/>
    <mergeCell ref="E320:K320"/>
    <mergeCell ref="L320:P320"/>
    <mergeCell ref="T320:Y320"/>
    <mergeCell ref="T307:Y307"/>
    <mergeCell ref="T308:Y308"/>
    <mergeCell ref="T332:Y332"/>
    <mergeCell ref="T333:Y333"/>
    <mergeCell ref="T323:Y323"/>
    <mergeCell ref="T324:Y324"/>
    <mergeCell ref="T325:Y325"/>
    <mergeCell ref="T326:Y327"/>
    <mergeCell ref="T329:Y329"/>
    <mergeCell ref="T330:Y330"/>
    <mergeCell ref="T331:Y331"/>
    <mergeCell ref="T309:Y309"/>
    <mergeCell ref="T310:Y310"/>
    <mergeCell ref="T311:Y311"/>
    <mergeCell ref="T312:Y312"/>
    <mergeCell ref="T313:Y313"/>
    <mergeCell ref="T314:Y314"/>
    <mergeCell ref="T315:Y315"/>
    <mergeCell ref="T316:Y316"/>
    <mergeCell ref="T317:Y317"/>
    <mergeCell ref="A299:A300"/>
    <mergeCell ref="B299:D299"/>
    <mergeCell ref="L299:P300"/>
    <mergeCell ref="A301:Y301"/>
    <mergeCell ref="T302:Y302"/>
    <mergeCell ref="T303:Y303"/>
    <mergeCell ref="T304:Y304"/>
    <mergeCell ref="T305:Y305"/>
    <mergeCell ref="T306:Y306"/>
    <mergeCell ref="E290:K290"/>
    <mergeCell ref="L290:P290"/>
    <mergeCell ref="E291:K291"/>
    <mergeCell ref="L291:P291"/>
    <mergeCell ref="L292:P292"/>
    <mergeCell ref="T294:Y294"/>
    <mergeCell ref="T295:Y295"/>
    <mergeCell ref="L296:Y298"/>
    <mergeCell ref="Q299:S299"/>
    <mergeCell ref="T299:Y300"/>
    <mergeCell ref="T290:Y290"/>
    <mergeCell ref="T291:Y291"/>
    <mergeCell ref="T292:Y292"/>
    <mergeCell ref="T293:Y293"/>
    <mergeCell ref="E292:K292"/>
    <mergeCell ref="E293:K293"/>
    <mergeCell ref="L293:P293"/>
    <mergeCell ref="E294:K294"/>
    <mergeCell ref="L294:P294"/>
    <mergeCell ref="E295:K295"/>
    <mergeCell ref="L295:P295"/>
    <mergeCell ref="E296:K296"/>
    <mergeCell ref="E297:K297"/>
    <mergeCell ref="E298:K298"/>
    <mergeCell ref="E286:K286"/>
    <mergeCell ref="L286:P286"/>
    <mergeCell ref="T286:Y286"/>
    <mergeCell ref="E287:K287"/>
    <mergeCell ref="L287:P287"/>
    <mergeCell ref="E288:K288"/>
    <mergeCell ref="L288:P288"/>
    <mergeCell ref="E289:K289"/>
    <mergeCell ref="L289:P289"/>
    <mergeCell ref="T287:Y287"/>
    <mergeCell ref="T288:Y288"/>
    <mergeCell ref="T289:Y289"/>
    <mergeCell ref="E311:K311"/>
    <mergeCell ref="L311:P311"/>
    <mergeCell ref="E315:K315"/>
    <mergeCell ref="E316:K316"/>
    <mergeCell ref="L316:P316"/>
    <mergeCell ref="E317:K317"/>
    <mergeCell ref="L317:P317"/>
    <mergeCell ref="E312:K312"/>
    <mergeCell ref="L312:P312"/>
    <mergeCell ref="E313:K313"/>
    <mergeCell ref="L313:P313"/>
    <mergeCell ref="E314:K314"/>
    <mergeCell ref="L314:P314"/>
    <mergeCell ref="L315:P315"/>
    <mergeCell ref="E306:K306"/>
    <mergeCell ref="L306:P306"/>
    <mergeCell ref="E307:K307"/>
    <mergeCell ref="L307:P307"/>
    <mergeCell ref="L308:P308"/>
    <mergeCell ref="E308:K308"/>
    <mergeCell ref="E309:K309"/>
    <mergeCell ref="L309:P309"/>
    <mergeCell ref="E310:K310"/>
    <mergeCell ref="L310:P310"/>
    <mergeCell ref="E299:K300"/>
    <mergeCell ref="E302:K302"/>
    <mergeCell ref="L302:P302"/>
    <mergeCell ref="E303:K303"/>
    <mergeCell ref="L303:P303"/>
    <mergeCell ref="E304:K304"/>
    <mergeCell ref="L304:P304"/>
    <mergeCell ref="E305:K305"/>
    <mergeCell ref="L305:P305"/>
    <mergeCell ref="E281:K281"/>
    <mergeCell ref="L281:P281"/>
    <mergeCell ref="L282:P282"/>
    <mergeCell ref="E282:K282"/>
    <mergeCell ref="E283:K283"/>
    <mergeCell ref="L283:P283"/>
    <mergeCell ref="E284:K284"/>
    <mergeCell ref="L284:P284"/>
    <mergeCell ref="E285:K285"/>
    <mergeCell ref="L285:P285"/>
    <mergeCell ref="E276:K276"/>
    <mergeCell ref="L276:P276"/>
    <mergeCell ref="E277:K277"/>
    <mergeCell ref="L277:P277"/>
    <mergeCell ref="E278:K278"/>
    <mergeCell ref="L278:P278"/>
    <mergeCell ref="E279:K279"/>
    <mergeCell ref="L279:P279"/>
    <mergeCell ref="E280:K280"/>
    <mergeCell ref="L280:P280"/>
    <mergeCell ref="E274:K274"/>
    <mergeCell ref="L274:P274"/>
    <mergeCell ref="L275:P275"/>
    <mergeCell ref="T270:Y270"/>
    <mergeCell ref="T271:Y271"/>
    <mergeCell ref="T272:Y272"/>
    <mergeCell ref="T273:Y273"/>
    <mergeCell ref="T274:Y274"/>
    <mergeCell ref="T275:Y275"/>
    <mergeCell ref="E275:K275"/>
    <mergeCell ref="L269:P269"/>
    <mergeCell ref="E270:K270"/>
    <mergeCell ref="L270:P270"/>
    <mergeCell ref="E271:K271"/>
    <mergeCell ref="L271:P271"/>
    <mergeCell ref="E272:K272"/>
    <mergeCell ref="L272:P272"/>
    <mergeCell ref="E273:K273"/>
    <mergeCell ref="L273:P273"/>
    <mergeCell ref="L264:P264"/>
    <mergeCell ref="T264:Y264"/>
    <mergeCell ref="L265:P265"/>
    <mergeCell ref="T265:Y265"/>
    <mergeCell ref="L266:P266"/>
    <mergeCell ref="T266:Y266"/>
    <mergeCell ref="T267:Y267"/>
    <mergeCell ref="L267:P267"/>
    <mergeCell ref="L268:P268"/>
    <mergeCell ref="T268:Y268"/>
    <mergeCell ref="T269:Y269"/>
    <mergeCell ref="T284:Y284"/>
    <mergeCell ref="T285:Y285"/>
    <mergeCell ref="T277:Y277"/>
    <mergeCell ref="T278:Y278"/>
    <mergeCell ref="T279:Y279"/>
    <mergeCell ref="T280:Y280"/>
    <mergeCell ref="T281:Y281"/>
    <mergeCell ref="T282:Y282"/>
    <mergeCell ref="T283:Y283"/>
    <mergeCell ref="T276:Y276"/>
    <mergeCell ref="L251:O251"/>
    <mergeCell ref="P251:Q251"/>
    <mergeCell ref="L252:O252"/>
    <mergeCell ref="P252:Q252"/>
    <mergeCell ref="L256:P257"/>
    <mergeCell ref="Q256:S256"/>
    <mergeCell ref="T256:Y257"/>
    <mergeCell ref="L247:O248"/>
    <mergeCell ref="P247:Q248"/>
    <mergeCell ref="R247:Y248"/>
    <mergeCell ref="L249:V249"/>
    <mergeCell ref="L250:O250"/>
    <mergeCell ref="P250:Q250"/>
    <mergeCell ref="R250:Y253"/>
    <mergeCell ref="R254:Y254"/>
    <mergeCell ref="L254:O254"/>
    <mergeCell ref="P254:Q254"/>
    <mergeCell ref="A255:Y255"/>
    <mergeCell ref="L231:S231"/>
    <mergeCell ref="L232:S232"/>
    <mergeCell ref="L233:S233"/>
    <mergeCell ref="L234:S234"/>
    <mergeCell ref="L235:S235"/>
    <mergeCell ref="L236:S236"/>
    <mergeCell ref="L237:S237"/>
    <mergeCell ref="L245:S245"/>
    <mergeCell ref="A246:Y246"/>
    <mergeCell ref="L238:S238"/>
    <mergeCell ref="L239:S239"/>
    <mergeCell ref="L240:S240"/>
    <mergeCell ref="L241:S241"/>
    <mergeCell ref="L242:S242"/>
    <mergeCell ref="L243:S243"/>
    <mergeCell ref="L244:S244"/>
    <mergeCell ref="B254:C254"/>
    <mergeCell ref="D254:K254"/>
    <mergeCell ref="A256:A257"/>
    <mergeCell ref="B256:D256"/>
    <mergeCell ref="E256:K257"/>
    <mergeCell ref="E259:K259"/>
    <mergeCell ref="E260:K260"/>
    <mergeCell ref="E268:K268"/>
    <mergeCell ref="E269:K269"/>
    <mergeCell ref="A261:A262"/>
    <mergeCell ref="B261:D261"/>
    <mergeCell ref="E261:K262"/>
    <mergeCell ref="E264:K264"/>
    <mergeCell ref="E265:K265"/>
    <mergeCell ref="E266:K266"/>
    <mergeCell ref="E267:K267"/>
    <mergeCell ref="A258:Y258"/>
    <mergeCell ref="T259:Y259"/>
    <mergeCell ref="L259:P259"/>
    <mergeCell ref="L260:P260"/>
    <mergeCell ref="T260:Y260"/>
    <mergeCell ref="L261:P262"/>
    <mergeCell ref="Q261:S261"/>
    <mergeCell ref="T261:Y262"/>
    <mergeCell ref="A239:C239"/>
    <mergeCell ref="A240:C240"/>
    <mergeCell ref="A241:K245"/>
    <mergeCell ref="A247:A248"/>
    <mergeCell ref="B247:C248"/>
    <mergeCell ref="D247:K248"/>
    <mergeCell ref="A249:K249"/>
    <mergeCell ref="B250:C250"/>
    <mergeCell ref="D250:K253"/>
    <mergeCell ref="B251:C251"/>
    <mergeCell ref="B252:C252"/>
    <mergeCell ref="B253:C253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L190:O190"/>
    <mergeCell ref="S190:Y190"/>
    <mergeCell ref="A221:K224"/>
    <mergeCell ref="A225:C226"/>
    <mergeCell ref="D225:D226"/>
    <mergeCell ref="E225:K226"/>
    <mergeCell ref="A227:K227"/>
    <mergeCell ref="A228:C228"/>
    <mergeCell ref="A229:C229"/>
    <mergeCell ref="L198:O198"/>
    <mergeCell ref="S198:Y198"/>
    <mergeCell ref="E199:K199"/>
    <mergeCell ref="L199:O199"/>
    <mergeCell ref="S199:Y199"/>
    <mergeCell ref="S201:Y201"/>
    <mergeCell ref="S202:Y202"/>
    <mergeCell ref="S203:Y203"/>
    <mergeCell ref="S204:Y204"/>
    <mergeCell ref="E200:K200"/>
    <mergeCell ref="L200:O200"/>
    <mergeCell ref="S200:Y200"/>
    <mergeCell ref="E201:K201"/>
    <mergeCell ref="L201:O201"/>
    <mergeCell ref="E202:K202"/>
    <mergeCell ref="E186:K186"/>
    <mergeCell ref="L186:O186"/>
    <mergeCell ref="E187:K187"/>
    <mergeCell ref="L187:O187"/>
    <mergeCell ref="E188:K188"/>
    <mergeCell ref="L188:O188"/>
    <mergeCell ref="E189:K189"/>
    <mergeCell ref="L189:O189"/>
    <mergeCell ref="S189:Y189"/>
    <mergeCell ref="E181:K181"/>
    <mergeCell ref="L181:O181"/>
    <mergeCell ref="E182:K182"/>
    <mergeCell ref="L182:O182"/>
    <mergeCell ref="E183:K183"/>
    <mergeCell ref="L183:O183"/>
    <mergeCell ref="L184:O184"/>
    <mergeCell ref="E184:K184"/>
    <mergeCell ref="E185:K185"/>
    <mergeCell ref="L185:O185"/>
    <mergeCell ref="E180:K180"/>
    <mergeCell ref="L180:O180"/>
    <mergeCell ref="S172:Y172"/>
    <mergeCell ref="S173:Y173"/>
    <mergeCell ref="S174:Y174"/>
    <mergeCell ref="S175:Y175"/>
    <mergeCell ref="S176:Y176"/>
    <mergeCell ref="S178:Y178"/>
    <mergeCell ref="S179:Y179"/>
    <mergeCell ref="E175:K175"/>
    <mergeCell ref="L175:O175"/>
    <mergeCell ref="E176:K176"/>
    <mergeCell ref="L176:O176"/>
    <mergeCell ref="L177:Y177"/>
    <mergeCell ref="A177:K177"/>
    <mergeCell ref="E178:K178"/>
    <mergeCell ref="L178:O178"/>
    <mergeCell ref="E179:K179"/>
    <mergeCell ref="L179:O179"/>
    <mergeCell ref="E171:K171"/>
    <mergeCell ref="L171:O171"/>
    <mergeCell ref="S171:Y171"/>
    <mergeCell ref="E172:K172"/>
    <mergeCell ref="L172:O172"/>
    <mergeCell ref="E173:K173"/>
    <mergeCell ref="L173:O173"/>
    <mergeCell ref="E174:K174"/>
    <mergeCell ref="L174:O174"/>
    <mergeCell ref="S187:Y187"/>
    <mergeCell ref="S188:Y188"/>
    <mergeCell ref="S180:Y180"/>
    <mergeCell ref="S181:Y181"/>
    <mergeCell ref="S182:Y182"/>
    <mergeCell ref="S183:Y183"/>
    <mergeCell ref="S184:Y184"/>
    <mergeCell ref="S185:Y185"/>
    <mergeCell ref="S186:Y186"/>
    <mergeCell ref="T161:Y161"/>
    <mergeCell ref="A162:Y162"/>
    <mergeCell ref="A163:A164"/>
    <mergeCell ref="E168:K168"/>
    <mergeCell ref="E169:K169"/>
    <mergeCell ref="L169:O169"/>
    <mergeCell ref="S169:Y169"/>
    <mergeCell ref="E170:K170"/>
    <mergeCell ref="L170:O170"/>
    <mergeCell ref="S170:Y170"/>
    <mergeCell ref="F161:K161"/>
    <mergeCell ref="E153:K153"/>
    <mergeCell ref="E154:K154"/>
    <mergeCell ref="E155:K155"/>
    <mergeCell ref="L155:O155"/>
    <mergeCell ref="A157:A158"/>
    <mergeCell ref="B157:D157"/>
    <mergeCell ref="L157:O158"/>
    <mergeCell ref="B163:C163"/>
    <mergeCell ref="D163:D164"/>
    <mergeCell ref="L159:O159"/>
    <mergeCell ref="L160:O160"/>
    <mergeCell ref="L161:O161"/>
    <mergeCell ref="E157:E158"/>
    <mergeCell ref="F157:K158"/>
    <mergeCell ref="P157:R157"/>
    <mergeCell ref="S157:S158"/>
    <mergeCell ref="T157:Y158"/>
    <mergeCell ref="T159:Y159"/>
    <mergeCell ref="E156:K156"/>
    <mergeCell ref="F159:K159"/>
    <mergeCell ref="F160:K160"/>
    <mergeCell ref="T160:Y160"/>
    <mergeCell ref="S163:Y164"/>
    <mergeCell ref="A165:Y165"/>
    <mergeCell ref="S166:Y166"/>
    <mergeCell ref="S167:Y167"/>
    <mergeCell ref="S168:Y168"/>
    <mergeCell ref="E163:K164"/>
    <mergeCell ref="L163:O164"/>
    <mergeCell ref="E166:K166"/>
    <mergeCell ref="L166:O166"/>
    <mergeCell ref="E167:K167"/>
    <mergeCell ref="L167:O167"/>
    <mergeCell ref="L168:O168"/>
    <mergeCell ref="P163:Q163"/>
    <mergeCell ref="R163:R164"/>
    <mergeCell ref="E151:K151"/>
    <mergeCell ref="E152:K152"/>
    <mergeCell ref="S153:Y153"/>
    <mergeCell ref="S154:Y154"/>
    <mergeCell ref="S155:Y155"/>
    <mergeCell ref="L156:Y156"/>
    <mergeCell ref="S146:Y146"/>
    <mergeCell ref="S147:Y147"/>
    <mergeCell ref="S148:Y148"/>
    <mergeCell ref="S149:Y149"/>
    <mergeCell ref="S150:Y150"/>
    <mergeCell ref="S151:Y151"/>
    <mergeCell ref="S152:Y152"/>
    <mergeCell ref="S142:Y142"/>
    <mergeCell ref="S143:Y143"/>
    <mergeCell ref="S144:Y144"/>
    <mergeCell ref="S145:Y145"/>
    <mergeCell ref="E146:K146"/>
    <mergeCell ref="E147:K147"/>
    <mergeCell ref="E148:K148"/>
    <mergeCell ref="E149:K149"/>
    <mergeCell ref="E150:K150"/>
    <mergeCell ref="E142:K142"/>
    <mergeCell ref="E143:K143"/>
    <mergeCell ref="E144:K144"/>
    <mergeCell ref="E145:K145"/>
    <mergeCell ref="L138:O139"/>
    <mergeCell ref="P138:Q138"/>
    <mergeCell ref="L141:O141"/>
    <mergeCell ref="L142:O142"/>
    <mergeCell ref="L143:O143"/>
    <mergeCell ref="L144:O144"/>
    <mergeCell ref="L145:O145"/>
    <mergeCell ref="E136:K136"/>
    <mergeCell ref="L136:Y136"/>
    <mergeCell ref="A137:Y137"/>
    <mergeCell ref="A138:A139"/>
    <mergeCell ref="B138:C138"/>
    <mergeCell ref="A140:Y140"/>
    <mergeCell ref="D138:D139"/>
    <mergeCell ref="E138:K139"/>
    <mergeCell ref="E141:K141"/>
    <mergeCell ref="R138:R139"/>
    <mergeCell ref="S138:Y139"/>
    <mergeCell ref="S141:Y141"/>
    <mergeCell ref="L153:O153"/>
    <mergeCell ref="L154:O154"/>
    <mergeCell ref="L146:O146"/>
    <mergeCell ref="L147:O147"/>
    <mergeCell ref="L148:O148"/>
    <mergeCell ref="L149:O149"/>
    <mergeCell ref="L150:O150"/>
    <mergeCell ref="L151:O151"/>
    <mergeCell ref="L152:O152"/>
    <mergeCell ref="A127:A128"/>
    <mergeCell ref="B127:D127"/>
    <mergeCell ref="L127:P128"/>
    <mergeCell ref="Q127:S127"/>
    <mergeCell ref="T127:Y128"/>
    <mergeCell ref="A129:Y129"/>
    <mergeCell ref="E127:K128"/>
    <mergeCell ref="E130:K130"/>
    <mergeCell ref="L130:P130"/>
    <mergeCell ref="E125:K125"/>
    <mergeCell ref="L125:P125"/>
    <mergeCell ref="L126:Y126"/>
    <mergeCell ref="T130:Y130"/>
    <mergeCell ref="T131:Y131"/>
    <mergeCell ref="T132:Y132"/>
    <mergeCell ref="T133:Y133"/>
    <mergeCell ref="T134:Y134"/>
    <mergeCell ref="T135:Y135"/>
    <mergeCell ref="E126:K126"/>
    <mergeCell ref="E131:K131"/>
    <mergeCell ref="L131:P131"/>
    <mergeCell ref="E132:K132"/>
    <mergeCell ref="E133:K133"/>
    <mergeCell ref="E134:K134"/>
    <mergeCell ref="E135:K135"/>
    <mergeCell ref="T120:Y120"/>
    <mergeCell ref="T121:Y121"/>
    <mergeCell ref="T122:Y122"/>
    <mergeCell ref="T123:Y123"/>
    <mergeCell ref="T124:Y124"/>
    <mergeCell ref="T125:Y125"/>
    <mergeCell ref="T116:Y116"/>
    <mergeCell ref="T117:Y117"/>
    <mergeCell ref="A118:A119"/>
    <mergeCell ref="B118:D118"/>
    <mergeCell ref="L118:P119"/>
    <mergeCell ref="Q118:S118"/>
    <mergeCell ref="T118:Y119"/>
    <mergeCell ref="E118:K119"/>
    <mergeCell ref="E120:K120"/>
    <mergeCell ref="L120:P120"/>
    <mergeCell ref="E121:K121"/>
    <mergeCell ref="L121:P121"/>
    <mergeCell ref="E122:K122"/>
    <mergeCell ref="L122:P122"/>
    <mergeCell ref="E123:K123"/>
    <mergeCell ref="L123:P123"/>
    <mergeCell ref="E124:K124"/>
    <mergeCell ref="L124:P124"/>
    <mergeCell ref="Q111:S111"/>
    <mergeCell ref="A113:Y113"/>
    <mergeCell ref="T107:Y107"/>
    <mergeCell ref="T108:Y108"/>
    <mergeCell ref="T109:Y109"/>
    <mergeCell ref="T110:Y110"/>
    <mergeCell ref="T111:Y112"/>
    <mergeCell ref="T114:Y114"/>
    <mergeCell ref="T115:Y115"/>
    <mergeCell ref="E108:K108"/>
    <mergeCell ref="L108:P108"/>
    <mergeCell ref="E109:K109"/>
    <mergeCell ref="L109:P109"/>
    <mergeCell ref="E110:K110"/>
    <mergeCell ref="L110:P110"/>
    <mergeCell ref="A111:A112"/>
    <mergeCell ref="B111:D111"/>
    <mergeCell ref="L111:P112"/>
    <mergeCell ref="A104:A105"/>
    <mergeCell ref="B104:D104"/>
    <mergeCell ref="L104:P105"/>
    <mergeCell ref="Q104:S104"/>
    <mergeCell ref="T104:Y105"/>
    <mergeCell ref="A106:Y106"/>
    <mergeCell ref="E104:K105"/>
    <mergeCell ref="E107:K107"/>
    <mergeCell ref="L107:P107"/>
    <mergeCell ref="L99:P99"/>
    <mergeCell ref="E100:K100"/>
    <mergeCell ref="L100:P100"/>
    <mergeCell ref="E101:K101"/>
    <mergeCell ref="L101:P101"/>
    <mergeCell ref="E102:K102"/>
    <mergeCell ref="L102:P102"/>
    <mergeCell ref="L103:P103"/>
    <mergeCell ref="E103:K103"/>
    <mergeCell ref="A95:Y95"/>
    <mergeCell ref="E96:K96"/>
    <mergeCell ref="L96:P96"/>
    <mergeCell ref="T96:Y96"/>
    <mergeCell ref="E117:K117"/>
    <mergeCell ref="L117:P117"/>
    <mergeCell ref="E111:K112"/>
    <mergeCell ref="E114:K114"/>
    <mergeCell ref="L114:P114"/>
    <mergeCell ref="E115:K115"/>
    <mergeCell ref="L115:P115"/>
    <mergeCell ref="E116:K116"/>
    <mergeCell ref="L116:P116"/>
    <mergeCell ref="T98:Y98"/>
    <mergeCell ref="T99:Y99"/>
    <mergeCell ref="T100:Y100"/>
    <mergeCell ref="T101:Y101"/>
    <mergeCell ref="T102:Y102"/>
    <mergeCell ref="E97:K97"/>
    <mergeCell ref="L97:P97"/>
    <mergeCell ref="T97:Y97"/>
    <mergeCell ref="E98:K98"/>
    <mergeCell ref="L98:P98"/>
    <mergeCell ref="E99:K99"/>
    <mergeCell ref="V75:Y75"/>
    <mergeCell ref="E76:F76"/>
    <mergeCell ref="T77:U77"/>
    <mergeCell ref="T78:U78"/>
    <mergeCell ref="T79:U79"/>
    <mergeCell ref="V79:Y79"/>
    <mergeCell ref="E94:K94"/>
    <mergeCell ref="L94:P94"/>
    <mergeCell ref="T94:Y94"/>
    <mergeCell ref="E68:F68"/>
    <mergeCell ref="G68:K68"/>
    <mergeCell ref="L68:Y69"/>
    <mergeCell ref="G69:K69"/>
    <mergeCell ref="E69:F69"/>
    <mergeCell ref="A70:A71"/>
    <mergeCell ref="B70:D70"/>
    <mergeCell ref="E70:F71"/>
    <mergeCell ref="G70:K71"/>
    <mergeCell ref="L70:P71"/>
    <mergeCell ref="Q70:S70"/>
    <mergeCell ref="E90:K90"/>
    <mergeCell ref="L90:P90"/>
    <mergeCell ref="T90:Y90"/>
    <mergeCell ref="T92:Y92"/>
    <mergeCell ref="T93:Y93"/>
    <mergeCell ref="E91:K91"/>
    <mergeCell ref="L91:P91"/>
    <mergeCell ref="T91:Y91"/>
    <mergeCell ref="E92:K92"/>
    <mergeCell ref="L92:P92"/>
    <mergeCell ref="E93:K93"/>
    <mergeCell ref="L93:P93"/>
    <mergeCell ref="E87:K87"/>
    <mergeCell ref="L87:P87"/>
    <mergeCell ref="T87:Y87"/>
    <mergeCell ref="L88:P88"/>
    <mergeCell ref="T88:Y88"/>
    <mergeCell ref="E88:K88"/>
    <mergeCell ref="E89:K89"/>
    <mergeCell ref="L89:P89"/>
    <mergeCell ref="T89:Y89"/>
    <mergeCell ref="E79:F79"/>
    <mergeCell ref="G79:K79"/>
    <mergeCell ref="L79:P79"/>
    <mergeCell ref="E80:F80"/>
    <mergeCell ref="G80:K80"/>
    <mergeCell ref="A81:Y81"/>
    <mergeCell ref="E82:K83"/>
    <mergeCell ref="E86:K86"/>
    <mergeCell ref="A82:A83"/>
    <mergeCell ref="B82:D82"/>
    <mergeCell ref="L82:P83"/>
    <mergeCell ref="Q82:S82"/>
    <mergeCell ref="T82:Y83"/>
    <mergeCell ref="A84:Y84"/>
    <mergeCell ref="A85:Y85"/>
    <mergeCell ref="L86:P86"/>
    <mergeCell ref="T86:Y86"/>
    <mergeCell ref="T70:U71"/>
    <mergeCell ref="V70:Y71"/>
    <mergeCell ref="E77:F77"/>
    <mergeCell ref="G77:K77"/>
    <mergeCell ref="L77:P77"/>
    <mergeCell ref="V77:Y77"/>
    <mergeCell ref="G78:K78"/>
    <mergeCell ref="L78:P78"/>
    <mergeCell ref="V78:Y78"/>
    <mergeCell ref="E78:F78"/>
    <mergeCell ref="A72:Y72"/>
    <mergeCell ref="A73:K73"/>
    <mergeCell ref="L73:Y73"/>
    <mergeCell ref="G74:K74"/>
    <mergeCell ref="L74:P74"/>
    <mergeCell ref="T74:U74"/>
    <mergeCell ref="V74:Y74"/>
    <mergeCell ref="G76:K76"/>
    <mergeCell ref="L76:Y76"/>
    <mergeCell ref="E74:F74"/>
    <mergeCell ref="E75:F75"/>
    <mergeCell ref="G75:K75"/>
    <mergeCell ref="L75:P75"/>
    <mergeCell ref="T75:U75"/>
    <mergeCell ref="V66:Y66"/>
    <mergeCell ref="V67:Y67"/>
    <mergeCell ref="T62:U62"/>
    <mergeCell ref="V62:Y62"/>
    <mergeCell ref="S63:U63"/>
    <mergeCell ref="V63:Y63"/>
    <mergeCell ref="S64:U64"/>
    <mergeCell ref="V64:Y64"/>
    <mergeCell ref="V65:Y65"/>
    <mergeCell ref="G64:K64"/>
    <mergeCell ref="L64:P64"/>
    <mergeCell ref="S65:U65"/>
    <mergeCell ref="S66:U66"/>
    <mergeCell ref="S67:U67"/>
    <mergeCell ref="E64:F64"/>
    <mergeCell ref="E65:F65"/>
    <mergeCell ref="G65:K65"/>
    <mergeCell ref="L65:P65"/>
    <mergeCell ref="E66:F66"/>
    <mergeCell ref="G66:K66"/>
    <mergeCell ref="L66:P66"/>
    <mergeCell ref="E67:F67"/>
    <mergeCell ref="G67:K67"/>
    <mergeCell ref="L67:P67"/>
    <mergeCell ref="E61:F61"/>
    <mergeCell ref="G61:K61"/>
    <mergeCell ref="L61:P61"/>
    <mergeCell ref="T61:U61"/>
    <mergeCell ref="V61:Y61"/>
    <mergeCell ref="E62:F62"/>
    <mergeCell ref="G62:K62"/>
    <mergeCell ref="L62:P62"/>
    <mergeCell ref="E63:F63"/>
    <mergeCell ref="G63:K63"/>
    <mergeCell ref="L63:P63"/>
    <mergeCell ref="T58:U58"/>
    <mergeCell ref="T59:U59"/>
    <mergeCell ref="L60:P60"/>
    <mergeCell ref="T60:U60"/>
    <mergeCell ref="V60:Y60"/>
    <mergeCell ref="B53:B54"/>
    <mergeCell ref="C53:C54"/>
    <mergeCell ref="A55:A56"/>
    <mergeCell ref="B55:D55"/>
    <mergeCell ref="E58:F58"/>
    <mergeCell ref="E59:F59"/>
    <mergeCell ref="G60:K60"/>
    <mergeCell ref="E60:F60"/>
    <mergeCell ref="A57:Y57"/>
    <mergeCell ref="G58:K58"/>
    <mergeCell ref="L58:P58"/>
    <mergeCell ref="V58:Y58"/>
    <mergeCell ref="G59:K59"/>
    <mergeCell ref="L59:P59"/>
    <mergeCell ref="V59:Y59"/>
    <mergeCell ref="E42:F42"/>
    <mergeCell ref="G42:K42"/>
    <mergeCell ref="L42:P42"/>
    <mergeCell ref="T42:U42"/>
    <mergeCell ref="V42:Y42"/>
    <mergeCell ref="G43:K43"/>
    <mergeCell ref="L43:Y43"/>
    <mergeCell ref="T45:U45"/>
    <mergeCell ref="V45:Y45"/>
    <mergeCell ref="E43:F43"/>
    <mergeCell ref="E44:F44"/>
    <mergeCell ref="G44:K44"/>
    <mergeCell ref="L44:P44"/>
    <mergeCell ref="T44:U44"/>
    <mergeCell ref="V44:Y44"/>
    <mergeCell ref="E45:F45"/>
    <mergeCell ref="E46:F46"/>
    <mergeCell ref="A53:A54"/>
    <mergeCell ref="G53:K54"/>
    <mergeCell ref="L54:P54"/>
    <mergeCell ref="V54:Y54"/>
    <mergeCell ref="D53:D54"/>
    <mergeCell ref="E53:F54"/>
    <mergeCell ref="E55:F56"/>
    <mergeCell ref="G55:K56"/>
    <mergeCell ref="Q55:S55"/>
    <mergeCell ref="T55:U56"/>
    <mergeCell ref="V55:Y56"/>
    <mergeCell ref="L55:P56"/>
    <mergeCell ref="L52:P52"/>
    <mergeCell ref="L53:P53"/>
    <mergeCell ref="T53:U53"/>
    <mergeCell ref="V53:Y53"/>
    <mergeCell ref="T52:U52"/>
    <mergeCell ref="T54:U54"/>
    <mergeCell ref="E50:F50"/>
    <mergeCell ref="E52:F52"/>
    <mergeCell ref="G52:K52"/>
    <mergeCell ref="V52:Y52"/>
    <mergeCell ref="G45:K45"/>
    <mergeCell ref="L45:P45"/>
    <mergeCell ref="E49:F49"/>
    <mergeCell ref="G50:K50"/>
    <mergeCell ref="L50:P50"/>
    <mergeCell ref="T50:U50"/>
    <mergeCell ref="V50:Y50"/>
    <mergeCell ref="A51:K51"/>
    <mergeCell ref="L51:Y51"/>
    <mergeCell ref="G46:K46"/>
    <mergeCell ref="L46:Y46"/>
    <mergeCell ref="A47:K47"/>
    <mergeCell ref="L47:P47"/>
    <mergeCell ref="T47:U47"/>
    <mergeCell ref="V47:Y47"/>
    <mergeCell ref="E48:F48"/>
    <mergeCell ref="G48:K48"/>
    <mergeCell ref="L48:P48"/>
    <mergeCell ref="T48:U48"/>
    <mergeCell ref="V48:Y48"/>
    <mergeCell ref="G49:K49"/>
    <mergeCell ref="L49:Y49"/>
    <mergeCell ref="M11:P11"/>
    <mergeCell ref="F12:M12"/>
    <mergeCell ref="N12:Q13"/>
    <mergeCell ref="R12:U13"/>
    <mergeCell ref="V12:Y13"/>
    <mergeCell ref="J13:M13"/>
    <mergeCell ref="F13:I13"/>
    <mergeCell ref="F14:H14"/>
    <mergeCell ref="I14:I15"/>
    <mergeCell ref="J14:L14"/>
    <mergeCell ref="M14:M15"/>
    <mergeCell ref="N14:P14"/>
    <mergeCell ref="Q14:Q15"/>
    <mergeCell ref="A1:A7"/>
    <mergeCell ref="A9:D10"/>
    <mergeCell ref="A11:D11"/>
    <mergeCell ref="A12:A15"/>
    <mergeCell ref="B12:E13"/>
    <mergeCell ref="B14:D14"/>
    <mergeCell ref="E14:E15"/>
    <mergeCell ref="U1:Y7"/>
    <mergeCell ref="D2:R2"/>
    <mergeCell ref="D3:R3"/>
    <mergeCell ref="D4:R4"/>
    <mergeCell ref="D5:R5"/>
    <mergeCell ref="D6:R6"/>
    <mergeCell ref="A8:Y8"/>
    <mergeCell ref="Q11:T11"/>
    <mergeCell ref="U11:Y11"/>
    <mergeCell ref="E9:P9"/>
    <mergeCell ref="Q9:T10"/>
    <mergeCell ref="U9:Y10"/>
    <mergeCell ref="E10:H10"/>
    <mergeCell ref="I10:L10"/>
    <mergeCell ref="M10:P10"/>
    <mergeCell ref="E11:H11"/>
    <mergeCell ref="I11:L11"/>
    <mergeCell ref="A38:Y38"/>
    <mergeCell ref="A39:K39"/>
    <mergeCell ref="L39:Y39"/>
    <mergeCell ref="E40:F40"/>
    <mergeCell ref="G40:K40"/>
    <mergeCell ref="V40:Y40"/>
    <mergeCell ref="L40:P40"/>
    <mergeCell ref="T40:U40"/>
    <mergeCell ref="E41:F41"/>
    <mergeCell ref="G41:K41"/>
    <mergeCell ref="L41:P41"/>
    <mergeCell ref="T41:U41"/>
    <mergeCell ref="V41:Y41"/>
    <mergeCell ref="L36:P37"/>
    <mergeCell ref="Q36:S36"/>
    <mergeCell ref="T36:U37"/>
    <mergeCell ref="V36:Y37"/>
    <mergeCell ref="R14:T14"/>
    <mergeCell ref="U14:U15"/>
    <mergeCell ref="V14:X14"/>
    <mergeCell ref="Y14:Y15"/>
    <mergeCell ref="A35:Y35"/>
    <mergeCell ref="A36:A37"/>
    <mergeCell ref="B36:D36"/>
    <mergeCell ref="E36:F37"/>
    <mergeCell ref="G36:K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Q1_All Programs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ebpls pgo</cp:lastModifiedBy>
  <dcterms:modified xsi:type="dcterms:W3CDTF">2026-09-07T21:13:20Z</dcterms:modified>
</cp:coreProperties>
</file>